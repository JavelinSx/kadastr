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PC\Desktop\"/>
    </mc:Choice>
  </mc:AlternateContent>
  <bookViews>
    <workbookView xWindow="120" yWindow="75" windowWidth="19020" windowHeight="9345" tabRatio="894" activeTab="4"/>
  </bookViews>
  <sheets>
    <sheet name="Каталог коорд" sheetId="14" r:id="rId1"/>
    <sheet name="Титул" sheetId="1" r:id="rId2"/>
    <sheet name="Содерж" sheetId="2" r:id="rId3"/>
    <sheet name="Исх данные" sheetId="3" r:id="rId4"/>
    <sheet name="изм и расчеты" sheetId="5" r:id="rId5"/>
    <sheet name="образование" sheetId="9" r:id="rId6"/>
    <sheet name="доступ" sheetId="8" r:id="rId7"/>
    <sheet name="Лист1" sheetId="15" r:id="rId8"/>
  </sheets>
  <definedNames>
    <definedName name="_xlnm.Print_Titles" localSheetId="3">'Исх данные'!$1:$1</definedName>
    <definedName name="_xlnm.Print_Titles" localSheetId="5">образование!$1:$3</definedName>
  </definedNames>
  <calcPr calcId="162913"/>
</workbook>
</file>

<file path=xl/calcChain.xml><?xml version="1.0" encoding="utf-8"?>
<calcChain xmlns="http://schemas.openxmlformats.org/spreadsheetml/2006/main">
  <c r="E19" i="5" l="1"/>
  <c r="K55" i="9"/>
  <c r="F7" i="14"/>
  <c r="F6" i="14"/>
  <c r="G50" i="14"/>
  <c r="F50" i="14"/>
  <c r="G49" i="14"/>
  <c r="F49" i="14"/>
  <c r="G48" i="14"/>
  <c r="F48" i="14"/>
  <c r="G45" i="14"/>
  <c r="F45" i="14"/>
  <c r="D44" i="14" s="1"/>
  <c r="G44" i="14"/>
  <c r="F44" i="14"/>
  <c r="G43" i="14"/>
  <c r="F43" i="14"/>
  <c r="D43" i="14" s="1"/>
  <c r="B43" i="14" s="1"/>
  <c r="C43" i="14" s="1"/>
  <c r="G42" i="14"/>
  <c r="G47" i="14"/>
  <c r="F42" i="14"/>
  <c r="F46" i="14"/>
  <c r="G39" i="14"/>
  <c r="F39" i="14"/>
  <c r="G38" i="14"/>
  <c r="F38" i="14"/>
  <c r="D38" i="14" s="1"/>
  <c r="B38" i="14" s="1"/>
  <c r="C38" i="14" s="1"/>
  <c r="G37" i="14"/>
  <c r="F37" i="14"/>
  <c r="G36" i="14"/>
  <c r="F36" i="14"/>
  <c r="D35" i="14" s="1"/>
  <c r="G35" i="14"/>
  <c r="G40" i="14" s="1"/>
  <c r="F35" i="14"/>
  <c r="F40" i="14"/>
  <c r="F11" i="5"/>
  <c r="G11" i="5" s="1"/>
  <c r="A28" i="14"/>
  <c r="A26" i="14"/>
  <c r="F26" i="14" s="1"/>
  <c r="A24" i="14"/>
  <c r="A25" i="14" s="1"/>
  <c r="F25" i="14" s="1"/>
  <c r="A7" i="14"/>
  <c r="G7" i="14"/>
  <c r="G6" i="14"/>
  <c r="B9" i="9"/>
  <c r="C24" i="9" s="1"/>
  <c r="A3" i="15"/>
  <c r="H3" i="15"/>
  <c r="K3" i="15"/>
  <c r="K52" i="9"/>
  <c r="B32" i="9"/>
  <c r="E32" i="9" s="1"/>
  <c r="A32" i="9"/>
  <c r="G32" i="9"/>
  <c r="B31" i="9"/>
  <c r="A31" i="9"/>
  <c r="B30" i="9"/>
  <c r="A30" i="9"/>
  <c r="B27" i="9"/>
  <c r="J8" i="3"/>
  <c r="J9" i="3" s="1"/>
  <c r="G8" i="3"/>
  <c r="D21" i="2"/>
  <c r="A29" i="9"/>
  <c r="A28" i="9"/>
  <c r="B28" i="9"/>
  <c r="A27" i="9"/>
  <c r="A26" i="9"/>
  <c r="B26" i="9"/>
  <c r="A25" i="9"/>
  <c r="B25" i="9"/>
  <c r="B24" i="9"/>
  <c r="C23" i="5"/>
  <c r="B63" i="9"/>
  <c r="J5" i="9"/>
  <c r="J20" i="9" s="1"/>
  <c r="A24" i="9"/>
  <c r="B7" i="8"/>
  <c r="B11" i="5"/>
  <c r="B19" i="5" s="1"/>
  <c r="D21" i="1"/>
  <c r="D13" i="1" s="1"/>
  <c r="B29" i="9"/>
  <c r="J3" i="15"/>
  <c r="L3" i="15" s="1"/>
  <c r="I9" i="9"/>
  <c r="D30" i="9" s="1"/>
  <c r="I19" i="5"/>
  <c r="N55" i="9" s="1"/>
  <c r="A19" i="14"/>
  <c r="A20" i="14"/>
  <c r="G20" i="14" s="1"/>
  <c r="A21" i="14"/>
  <c r="G21" i="14" s="1"/>
  <c r="H32" i="9"/>
  <c r="F32" i="9"/>
  <c r="A8" i="14"/>
  <c r="A9" i="14" s="1"/>
  <c r="G46" i="14"/>
  <c r="F47" i="14"/>
  <c r="D47" i="14" s="1"/>
  <c r="E43" i="14"/>
  <c r="D45" i="14" l="1"/>
  <c r="C45" i="14" s="1"/>
  <c r="E37" i="14"/>
  <c r="E35" i="14"/>
  <c r="F21" i="14"/>
  <c r="D36" i="14"/>
  <c r="B36" i="14" s="1"/>
  <c r="C36" i="14" s="1"/>
  <c r="D42" i="14"/>
  <c r="E36" i="14"/>
  <c r="D37" i="14"/>
  <c r="E42" i="14"/>
  <c r="E38" i="14"/>
  <c r="F9" i="14"/>
  <c r="F19" i="14"/>
  <c r="A27" i="14"/>
  <c r="F27" i="14" s="1"/>
  <c r="E44" i="14"/>
  <c r="E45" i="14"/>
  <c r="A22" i="14"/>
  <c r="F24" i="14"/>
  <c r="F28" i="14"/>
  <c r="J34" i="9"/>
  <c r="J49" i="9"/>
  <c r="J60" i="9" s="1"/>
  <c r="E47" i="14"/>
  <c r="B45" i="14"/>
  <c r="E46" i="14"/>
  <c r="D46" i="14"/>
  <c r="G25" i="14"/>
  <c r="E6" i="14"/>
  <c r="G26" i="14"/>
  <c r="G22" i="14"/>
  <c r="F20" i="14"/>
  <c r="W6" i="14"/>
  <c r="C30" i="9"/>
  <c r="W7" i="14"/>
  <c r="A10" i="14"/>
  <c r="G24" i="14"/>
  <c r="G28" i="14"/>
  <c r="E28" i="14" s="1"/>
  <c r="G9" i="14"/>
  <c r="G19" i="14"/>
  <c r="G27" i="14"/>
  <c r="F8" i="14"/>
  <c r="D6" i="14"/>
  <c r="B6" i="14" s="1"/>
  <c r="G8" i="14"/>
  <c r="D25" i="14"/>
  <c r="B47" i="14"/>
  <c r="C47" i="14"/>
  <c r="E40" i="14"/>
  <c r="D40" i="14"/>
  <c r="D39" i="14"/>
  <c r="E39" i="14"/>
  <c r="B44" i="14"/>
  <c r="C44" i="14" s="1"/>
  <c r="E29" i="9"/>
  <c r="B42" i="14"/>
  <c r="C42" i="14" s="1"/>
  <c r="B35" i="14"/>
  <c r="C35" i="14" s="1"/>
  <c r="D24" i="9"/>
  <c r="F29" i="9"/>
  <c r="D20" i="14" l="1"/>
  <c r="F22" i="14"/>
  <c r="D21" i="14" s="1"/>
  <c r="A23" i="14"/>
  <c r="C37" i="14"/>
  <c r="B37" i="14"/>
  <c r="E25" i="14"/>
  <c r="B46" i="14"/>
  <c r="C46" i="14"/>
  <c r="E20" i="14"/>
  <c r="D19" i="14"/>
  <c r="B19" i="14" s="1"/>
  <c r="E24" i="14"/>
  <c r="D24" i="14"/>
  <c r="W8" i="14"/>
  <c r="E21" i="14"/>
  <c r="E19" i="14"/>
  <c r="D28" i="14"/>
  <c r="C28" i="14" s="1"/>
  <c r="D27" i="14"/>
  <c r="C27" i="14" s="1"/>
  <c r="E27" i="14"/>
  <c r="W9" i="14"/>
  <c r="F10" i="14"/>
  <c r="A11" i="14"/>
  <c r="G10" i="14"/>
  <c r="D7" i="14"/>
  <c r="B7" i="14" s="1"/>
  <c r="C7" i="14" s="1"/>
  <c r="C6" i="14"/>
  <c r="D8" i="14"/>
  <c r="B8" i="14" s="1"/>
  <c r="D26" i="14"/>
  <c r="C26" i="14" s="1"/>
  <c r="E26" i="14"/>
  <c r="E8" i="14"/>
  <c r="E7" i="14"/>
  <c r="C39" i="14"/>
  <c r="B39" i="14"/>
  <c r="C20" i="14"/>
  <c r="B20" i="14"/>
  <c r="C19" i="14"/>
  <c r="B40" i="14"/>
  <c r="C40" i="14"/>
  <c r="C24" i="14"/>
  <c r="B24" i="14"/>
  <c r="C25" i="14"/>
  <c r="B25" i="14"/>
  <c r="C21" i="14" l="1"/>
  <c r="B21" i="14"/>
  <c r="F23" i="14"/>
  <c r="G23" i="14"/>
  <c r="B26" i="14"/>
  <c r="B28" i="14"/>
  <c r="E9" i="14"/>
  <c r="B27" i="14"/>
  <c r="F11" i="14"/>
  <c r="G11" i="14"/>
  <c r="A12" i="14"/>
  <c r="D9" i="14"/>
  <c r="B9" i="14" s="1"/>
  <c r="C9" i="14" s="1"/>
  <c r="C8" i="14"/>
  <c r="D22" i="14" l="1"/>
  <c r="E23" i="14"/>
  <c r="D23" i="14"/>
  <c r="E22" i="14"/>
  <c r="D10" i="14"/>
  <c r="C10" i="14" s="1"/>
  <c r="A13" i="14"/>
  <c r="G12" i="14"/>
  <c r="F12" i="14"/>
  <c r="E10" i="14"/>
  <c r="C23" i="14" l="1"/>
  <c r="B23" i="14"/>
  <c r="C22" i="14"/>
  <c r="B22" i="14"/>
  <c r="B10" i="14"/>
  <c r="B10" i="9"/>
  <c r="E24" i="9" s="1"/>
  <c r="I11" i="9"/>
  <c r="D26" i="9" s="1"/>
  <c r="I40" i="9"/>
  <c r="I41" i="9"/>
  <c r="F13" i="14"/>
  <c r="A14" i="14"/>
  <c r="G13" i="14"/>
  <c r="D12" i="14" s="1"/>
  <c r="E11" i="14"/>
  <c r="F25" i="9"/>
  <c r="D11" i="14"/>
  <c r="A15" i="14" l="1"/>
  <c r="C25" i="9"/>
  <c r="E12" i="14"/>
  <c r="B11" i="9"/>
  <c r="I10" i="9"/>
  <c r="F14" i="14"/>
  <c r="G14" i="14"/>
  <c r="B15" i="9"/>
  <c r="I15" i="9"/>
  <c r="I45" i="9"/>
  <c r="B12" i="14"/>
  <c r="C12" i="14" s="1"/>
  <c r="B11" i="14"/>
  <c r="C11" i="14" s="1"/>
  <c r="F15" i="14" l="1"/>
  <c r="A16" i="14"/>
  <c r="G15" i="14"/>
  <c r="C26" i="9"/>
  <c r="E25" i="9"/>
  <c r="D14" i="14"/>
  <c r="B14" i="14" s="1"/>
  <c r="D25" i="9"/>
  <c r="G25" i="9" s="1"/>
  <c r="F24" i="9"/>
  <c r="D13" i="14"/>
  <c r="E13" i="14"/>
  <c r="E14" i="14"/>
  <c r="F16" i="14" l="1"/>
  <c r="A17" i="14"/>
  <c r="G16" i="14"/>
  <c r="I12" i="9"/>
  <c r="I42" i="9"/>
  <c r="B12" i="9"/>
  <c r="B42" i="9"/>
  <c r="D15" i="14"/>
  <c r="E15" i="14"/>
  <c r="C14" i="14"/>
  <c r="H25" i="9"/>
  <c r="G24" i="9"/>
  <c r="H24" i="9"/>
  <c r="B13" i="14"/>
  <c r="C13" i="14" s="1"/>
  <c r="C27" i="9" l="1"/>
  <c r="E26" i="9"/>
  <c r="D27" i="9"/>
  <c r="F26" i="9"/>
  <c r="F17" i="14"/>
  <c r="D16" i="14" s="1"/>
  <c r="A18" i="14"/>
  <c r="G17" i="14"/>
  <c r="B15" i="14"/>
  <c r="C15" i="14"/>
  <c r="C16" i="14" l="1"/>
  <c r="B16" i="14"/>
  <c r="E16" i="14"/>
  <c r="F18" i="14"/>
  <c r="E17" i="14" s="1"/>
  <c r="G18" i="14"/>
  <c r="B18" i="9"/>
  <c r="B41" i="9"/>
  <c r="I17" i="9"/>
  <c r="B16" i="9"/>
  <c r="B13" i="9"/>
  <c r="B46" i="9"/>
  <c r="B14" i="9"/>
  <c r="I16" i="9"/>
  <c r="I14" i="9"/>
  <c r="I43" i="9"/>
  <c r="B44" i="9"/>
  <c r="I44" i="9"/>
  <c r="B17" i="9"/>
  <c r="B45" i="9"/>
  <c r="B47" i="9"/>
  <c r="I18" i="9"/>
  <c r="I13" i="9"/>
  <c r="B40" i="9"/>
  <c r="I47" i="9"/>
  <c r="I46" i="9"/>
  <c r="B43" i="9"/>
  <c r="D17" i="14"/>
  <c r="G26" i="9"/>
  <c r="H26" i="9"/>
  <c r="E18" i="14" l="1"/>
  <c r="C32" i="9"/>
  <c r="E31" i="9"/>
  <c r="C28" i="9"/>
  <c r="E27" i="9"/>
  <c r="H27" i="9" s="1"/>
  <c r="F30" i="9"/>
  <c r="D31" i="9"/>
  <c r="E30" i="9"/>
  <c r="H30" i="9" s="1"/>
  <c r="C31" i="9"/>
  <c r="H31" i="9" s="1"/>
  <c r="F27" i="9"/>
  <c r="D28" i="9"/>
  <c r="D29" i="9"/>
  <c r="F28" i="9"/>
  <c r="B17" i="14"/>
  <c r="C17" i="14"/>
  <c r="C29" i="9"/>
  <c r="H29" i="9" s="1"/>
  <c r="E28" i="9"/>
  <c r="D32" i="9"/>
  <c r="F31" i="9"/>
  <c r="D18" i="14"/>
  <c r="G29" i="9" l="1"/>
  <c r="C18" i="14"/>
  <c r="B18" i="14"/>
  <c r="H28" i="9"/>
  <c r="G28" i="9"/>
  <c r="G31" i="9"/>
  <c r="G27" i="9"/>
  <c r="G30" i="9"/>
</calcChain>
</file>

<file path=xl/sharedStrings.xml><?xml version="1.0" encoding="utf-8"?>
<sst xmlns="http://schemas.openxmlformats.org/spreadsheetml/2006/main" count="309" uniqueCount="175">
  <si>
    <t>МЕЖЕВОЙ ПЛАН</t>
  </si>
  <si>
    <t>Заполняется специалистом органа кадастрового учета</t>
  </si>
  <si>
    <t>Титульный лист</t>
  </si>
  <si>
    <t>1. Межевой план подготовлен в результате выполнения кадастровых работ в связи с:</t>
  </si>
  <si>
    <t>2. Цель кадастровых работ:</t>
  </si>
  <si>
    <t>3. Сведения о заказчике кадастровых работ:</t>
  </si>
  <si>
    <t>(фамилия, имя, отчество (при наличии отчества) физического лица, полное наименование юридического лица, органа государственной власти, органа местного самоуправления, иностранного юридического лица с указанием страны его регистрации (инкорпорации)</t>
  </si>
  <si>
    <t>Место для оттиска печати заказчика кадастровых работ</t>
  </si>
  <si>
    <t>4. Сведения о кадастровом инженере:</t>
  </si>
  <si>
    <t>Место для оттиска печати кадастрового инженера</t>
  </si>
  <si>
    <t xml:space="preserve">Всего листов </t>
  </si>
  <si>
    <t>Дата:</t>
  </si>
  <si>
    <r>
      <t xml:space="preserve">Фамилия, имя, отчество </t>
    </r>
    <r>
      <rPr>
        <sz val="8"/>
        <color indexed="8"/>
        <rFont val="Times New Roman"/>
        <family val="1"/>
        <charset val="204"/>
      </rPr>
      <t xml:space="preserve">(при наличии отчества)                                            </t>
    </r>
  </si>
  <si>
    <t>Контактный телефон</t>
  </si>
  <si>
    <t>регистрационный № _______________________________________
__________________ ______________________________________
 (подпись)                                      (инициалы, фамилия)
« ______ » ______________________ г.</t>
  </si>
  <si>
    <t>Содержание</t>
  </si>
  <si>
    <t>№ п/п</t>
  </si>
  <si>
    <t>Разделы межевого плана</t>
  </si>
  <si>
    <t>Номера листов</t>
  </si>
  <si>
    <t>Исходные данные</t>
  </si>
  <si>
    <t>1. Перечень документов, использованных при подготовке межевого плана</t>
  </si>
  <si>
    <t>Наименование документа</t>
  </si>
  <si>
    <t>Реквизиты документа</t>
  </si>
  <si>
    <t>Название пункта и тип знака геодезической сети</t>
  </si>
  <si>
    <t>Класс геодезической сети</t>
  </si>
  <si>
    <t>Координаты, м</t>
  </si>
  <si>
    <t>X</t>
  </si>
  <si>
    <t>Y</t>
  </si>
  <si>
    <t>3. Сведения о средствах измерений</t>
  </si>
  <si>
    <t>Наименование прибора (инструмента, аппаратуры)</t>
  </si>
  <si>
    <t>Реквизиты свидетельства о поверке прибора (инструмента, аппаратуры)</t>
  </si>
  <si>
    <t>4. Сведения о наличии зданий, сооружений, объектов незавершенного строительства на исходных или измененных земельных участках</t>
  </si>
  <si>
    <t>Кадастровый номер земельного участка</t>
  </si>
  <si>
    <t>5. Сведения о частях исходных, измененных или уточняемых земельных участков</t>
  </si>
  <si>
    <t>Учетные номера частей земельного участка</t>
  </si>
  <si>
    <t>Система координат</t>
  </si>
  <si>
    <t xml:space="preserve">Лист № </t>
  </si>
  <si>
    <t>Сведения о выполненных измерениях и расчетах</t>
  </si>
  <si>
    <t>1. Метод определения координат характерных точек границ земельных участков и их частей</t>
  </si>
  <si>
    <t>Кадастровый номер или обозначение земельного участка</t>
  </si>
  <si>
    <t>Метод определения координат</t>
  </si>
  <si>
    <t>2. Точность положения характерных точек границ земельных участков</t>
  </si>
  <si>
    <r>
      <t>Формулы, примененные для расчета средней квадратической погрешности положения характерных точек границ (M</t>
    </r>
    <r>
      <rPr>
        <vertAlign val="subscript"/>
        <sz val="11"/>
        <color indexed="8"/>
        <rFont val="Times New Roman"/>
        <family val="1"/>
        <charset val="204"/>
      </rPr>
      <t>t</t>
    </r>
    <r>
      <rPr>
        <sz val="11"/>
        <color indexed="8"/>
        <rFont val="Times New Roman"/>
        <family val="1"/>
        <charset val="204"/>
      </rPr>
      <t>), м</t>
    </r>
  </si>
  <si>
    <t>3. Точность положения характерных точек границ частей земельных участков</t>
  </si>
  <si>
    <t>Учетный номер или обозначение части</t>
  </si>
  <si>
    <t>4. Точность определения площади земельных участков</t>
  </si>
  <si>
    <r>
      <t>Площадь (Р), м</t>
    </r>
    <r>
      <rPr>
        <vertAlign val="superscript"/>
        <sz val="11"/>
        <color indexed="8"/>
        <rFont val="Times New Roman"/>
        <family val="1"/>
        <charset val="204"/>
      </rPr>
      <t>2</t>
    </r>
  </si>
  <si>
    <r>
      <t>Формулы, примененные для расчета предельно допустимой погрешности определения площади земельного участка (∆Р), м</t>
    </r>
    <r>
      <rPr>
        <vertAlign val="superscript"/>
        <sz val="11"/>
        <color indexed="8"/>
        <rFont val="Times New Roman"/>
        <family val="1"/>
        <charset val="204"/>
      </rPr>
      <t>2</t>
    </r>
  </si>
  <si>
    <t>5. Точность определения площади частей земельных участков</t>
  </si>
  <si>
    <r>
      <t>Формулы, примененные для расчета предельно допустимой погрешности определения площади части земельного участка (∆Р), м</t>
    </r>
    <r>
      <rPr>
        <vertAlign val="superscript"/>
        <sz val="11"/>
        <color indexed="8"/>
        <rFont val="Times New Roman"/>
        <family val="1"/>
        <charset val="204"/>
      </rPr>
      <t>2</t>
    </r>
  </si>
  <si>
    <t>Лист №</t>
  </si>
  <si>
    <t>Обозначение части границы</t>
  </si>
  <si>
    <t>Горизонтальное проложение (S), м</t>
  </si>
  <si>
    <t>Описание прохождения части границы</t>
  </si>
  <si>
    <t>от т.</t>
  </si>
  <si>
    <t>до т.</t>
  </si>
  <si>
    <t>Обозначение характерных точек границы</t>
  </si>
  <si>
    <t>Наименование характеристик земельного участка</t>
  </si>
  <si>
    <t>Иные сведения</t>
  </si>
  <si>
    <t>Характеристика части</t>
  </si>
  <si>
    <t>Сведения о земельных участках, посредством которых обеспечивается доступ к образуемым или измененным земельным участкам</t>
  </si>
  <si>
    <t>Кадастровый номер или обозначение земельного участка, для которого обеспечивается доступ</t>
  </si>
  <si>
    <t>Кадастровый номер или обозначение земельного участка, посредством которого обеспечивается доступ</t>
  </si>
  <si>
    <t>Описание закрепления точки</t>
  </si>
  <si>
    <t>Координаты</t>
  </si>
  <si>
    <t>Дирекционный угол</t>
  </si>
  <si>
    <t>Д. угол в долях</t>
  </si>
  <si>
    <t>Расстояние</t>
  </si>
  <si>
    <t>/</t>
  </si>
  <si>
    <t>М</t>
  </si>
  <si>
    <t>Х</t>
  </si>
  <si>
    <t>У</t>
  </si>
  <si>
    <t>+</t>
  </si>
  <si>
    <t xml:space="preserve">Тахеометр Nikon </t>
  </si>
  <si>
    <t>-</t>
  </si>
  <si>
    <t>Почтовый адрес и адрес электронной почты, по которым осуществляется связь с кадастровым инженером:</t>
  </si>
  <si>
    <t>земли общего пользования</t>
  </si>
  <si>
    <t>Кадастровый план территории</t>
  </si>
  <si>
    <t>от</t>
  </si>
  <si>
    <t>№</t>
  </si>
  <si>
    <t xml:space="preserve">Приложение к постановлению </t>
  </si>
  <si>
    <t>Сведения об образуемых земельных участках и их частях</t>
  </si>
  <si>
    <t>1. Сведения о характерных точках границ образуемых земельных участков</t>
  </si>
  <si>
    <t>Обозначение земельного участка</t>
  </si>
  <si>
    <t>2. Сведения о частях границ образуемых земельных участков</t>
  </si>
  <si>
    <t>3. Сведения о местоположении границ частей образуемых земельных участков</t>
  </si>
  <si>
    <t>Средняя квадратическая погрешность положения характерной точки (М), м</t>
  </si>
  <si>
    <t>4. Общие сведения об образуемых земельных участках</t>
  </si>
  <si>
    <t>Адрес земельного участка или его местоположение</t>
  </si>
  <si>
    <t>Категория земель</t>
  </si>
  <si>
    <t>Земли населенных пунктов</t>
  </si>
  <si>
    <t>Вид разрешенного использования</t>
  </si>
  <si>
    <t>5. Общие сведения о частях образуемых земельных участков</t>
  </si>
  <si>
    <r>
      <t>±∆Р, м</t>
    </r>
    <r>
      <rPr>
        <vertAlign val="superscript"/>
        <sz val="11"/>
        <color indexed="8"/>
        <rFont val="Times New Roman"/>
        <family val="1"/>
        <charset val="204"/>
      </rPr>
      <t>2</t>
    </r>
  </si>
  <si>
    <t>Схема геодезических построений</t>
  </si>
  <si>
    <t>Схема расположения земельных участков</t>
  </si>
  <si>
    <t>Чертеж земельных участков и их частей</t>
  </si>
  <si>
    <t>:ЗУ1</t>
  </si>
  <si>
    <t>164288, Архангельская область, Плесецкий район, п. Савинский, ул. Октябрьская, дом 18, квартира 71., 
получатель - Зуев Андрей Николаевич,  
электронный адрес: zuew23@mail.ru</t>
  </si>
  <si>
    <r>
      <t xml:space="preserve">Предельный минимальный и максимальный размер земельного участка </t>
    </r>
    <r>
      <rPr>
        <b/>
        <sz val="11"/>
        <color indexed="8"/>
        <rFont val="Times New Roman"/>
        <family val="1"/>
        <charset val="204"/>
      </rPr>
      <t>(Р</t>
    </r>
    <r>
      <rPr>
        <b/>
        <vertAlign val="subscript"/>
        <sz val="11"/>
        <color indexed="8"/>
        <rFont val="Times New Roman"/>
        <family val="1"/>
        <charset val="204"/>
      </rPr>
      <t>мин</t>
    </r>
    <r>
      <rPr>
        <b/>
        <sz val="11"/>
        <color indexed="8"/>
        <rFont val="Times New Roman"/>
        <family val="1"/>
        <charset val="204"/>
      </rPr>
      <t>) и (Р</t>
    </r>
    <r>
      <rPr>
        <b/>
        <vertAlign val="subscript"/>
        <sz val="11"/>
        <color indexed="8"/>
        <rFont val="Times New Roman"/>
        <family val="1"/>
        <charset val="204"/>
      </rPr>
      <t>макс</t>
    </r>
    <r>
      <rPr>
        <b/>
        <sz val="11"/>
        <color indexed="8"/>
        <rFont val="Times New Roman"/>
        <family val="1"/>
        <charset val="204"/>
      </rPr>
      <t>), м</t>
    </r>
    <r>
      <rPr>
        <b/>
        <vertAlign val="superscript"/>
        <sz val="11"/>
        <color indexed="8"/>
        <rFont val="Times New Roman"/>
        <family val="1"/>
        <charset val="204"/>
      </rPr>
      <t>2</t>
    </r>
  </si>
  <si>
    <r>
      <t>Площадь земельного участка  ± величина погрешности определения площади (Р ± ∆Р), м</t>
    </r>
    <r>
      <rPr>
        <vertAlign val="superscript"/>
        <sz val="11"/>
        <color indexed="8"/>
        <rFont val="Times New Roman"/>
        <family val="1"/>
        <charset val="204"/>
      </rPr>
      <t>2</t>
    </r>
  </si>
  <si>
    <t>Значение характеристики</t>
  </si>
  <si>
    <t>Приложения</t>
  </si>
  <si>
    <t>МСК29</t>
  </si>
  <si>
    <t>образованием земельного участка из земель, находящихся в государственной собственности,</t>
  </si>
  <si>
    <t>расположенного:</t>
  </si>
  <si>
    <t>№ квалификационного аттестата кадастрового инженера</t>
  </si>
  <si>
    <t>29-10-51</t>
  </si>
  <si>
    <t>+ 7 909 55 22 052, 8(818-32)7-15-83</t>
  </si>
  <si>
    <t>Зуев Андрей Николаевич индивидуальный предприниматель</t>
  </si>
  <si>
    <t>Постановление администрации МО "Плесецкий муниципальный район" от</t>
  </si>
  <si>
    <t xml:space="preserve"> (копия)</t>
  </si>
  <si>
    <t>Схема расположения земельного участка от</t>
  </si>
  <si>
    <t>5, стр. 2</t>
  </si>
  <si>
    <t>1 кл</t>
  </si>
  <si>
    <t>Схема расположения земельного участка</t>
  </si>
  <si>
    <r>
      <t>Средняя квадратическая погрешность положения характерной точки (M</t>
    </r>
    <r>
      <rPr>
        <vertAlign val="subscript"/>
        <sz val="10"/>
        <color indexed="8"/>
        <rFont val="Times New Roman"/>
        <family val="1"/>
        <charset val="204"/>
      </rPr>
      <t>t</t>
    </r>
    <r>
      <rPr>
        <sz val="10"/>
        <color indexed="8"/>
        <rFont val="Times New Roman"/>
        <family val="1"/>
        <charset val="204"/>
      </rPr>
      <t>), м</t>
    </r>
  </si>
  <si>
    <r>
      <t>Площадь, (Р), м</t>
    </r>
    <r>
      <rPr>
        <vertAlign val="superscript"/>
        <sz val="8"/>
        <rFont val="Arial Cyr"/>
        <charset val="204"/>
      </rPr>
      <t>2</t>
    </r>
  </si>
  <si>
    <t>Шарова Елена Сергеевна</t>
  </si>
  <si>
    <t>Подпись _______________________А.Н. Зуев</t>
  </si>
  <si>
    <t>Подпись _____________________Е.С. Шарова</t>
  </si>
  <si>
    <t>12.04.2012 г.</t>
  </si>
  <si>
    <t>22.04.2008 г.</t>
  </si>
  <si>
    <t>5, стр. 1</t>
  </si>
  <si>
    <t>26.09.2011 г.</t>
  </si>
  <si>
    <t>2900/201/11-48947</t>
  </si>
  <si>
    <t>Постановление администрации МО "Плесецкое" от</t>
  </si>
  <si>
    <t>Постановление МО "Плесецкое"</t>
  </si>
  <si>
    <t>для ведения личного подсобного хозяйства</t>
  </si>
  <si>
    <t xml:space="preserve">  </t>
  </si>
  <si>
    <t>Реквизиты сертификата прибора(инструмента, аппаратуры), при наличиии такого сертификата</t>
  </si>
  <si>
    <t>Кадастровые или иные номера зданий,сооружений,объектов незавершенного стороительства, расположенных на земельном участке</t>
  </si>
  <si>
    <t xml:space="preserve">Описание </t>
  </si>
  <si>
    <t>Кадастровые или иные номера зданий, сооружений, объектов незавершенного строительства, расположенных на земельном участке</t>
  </si>
  <si>
    <r>
      <t>m</t>
    </r>
    <r>
      <rPr>
        <vertAlign val="subscript"/>
        <sz val="10"/>
        <rFont val="Arial Cyr"/>
        <charset val="204"/>
      </rPr>
      <t>1</t>
    </r>
  </si>
  <si>
    <t>L, m</t>
  </si>
  <si>
    <r>
      <t>m</t>
    </r>
    <r>
      <rPr>
        <vertAlign val="subscript"/>
        <sz val="10"/>
        <rFont val="Arial Cyr"/>
        <charset val="204"/>
      </rPr>
      <t>0</t>
    </r>
  </si>
  <si>
    <t>n, шт.</t>
  </si>
  <si>
    <r>
      <t>S</t>
    </r>
    <r>
      <rPr>
        <vertAlign val="subscript"/>
        <sz val="10"/>
        <rFont val="Arial Cyr"/>
        <charset val="204"/>
      </rPr>
      <t>n</t>
    </r>
    <r>
      <rPr>
        <sz val="10"/>
        <rFont val="Arial Cyr"/>
        <charset val="204"/>
      </rPr>
      <t>, m</t>
    </r>
  </si>
  <si>
    <r>
      <t>ΣS</t>
    </r>
    <r>
      <rPr>
        <vertAlign val="subscript"/>
        <sz val="10"/>
        <rFont val="Arial Cyr"/>
        <charset val="204"/>
      </rPr>
      <t>n</t>
    </r>
    <r>
      <rPr>
        <sz val="10"/>
        <rFont val="Arial Cyr"/>
        <charset val="204"/>
      </rPr>
      <t>, m</t>
    </r>
  </si>
  <si>
    <r>
      <t>М</t>
    </r>
    <r>
      <rPr>
        <vertAlign val="subscript"/>
        <sz val="10"/>
        <rFont val="Arial Cyr"/>
        <charset val="204"/>
      </rPr>
      <t>t</t>
    </r>
  </si>
  <si>
    <t>√</t>
  </si>
  <si>
    <t>=</t>
  </si>
  <si>
    <r>
      <t>M</t>
    </r>
    <r>
      <rPr>
        <vertAlign val="subscript"/>
        <sz val="10"/>
        <rFont val="Arial Cyr"/>
        <charset val="204"/>
      </rPr>
      <t>t</t>
    </r>
    <r>
      <rPr>
        <sz val="10"/>
        <rFont val="Arial Cyr"/>
        <charset val="204"/>
      </rPr>
      <t>=</t>
    </r>
    <r>
      <rPr>
        <sz val="14"/>
        <rFont val="Calibri"/>
        <family val="2"/>
        <charset val="204"/>
      </rPr>
      <t>√</t>
    </r>
    <r>
      <rPr>
        <sz val="12"/>
        <rFont val="Calibri"/>
        <family val="2"/>
        <charset val="204"/>
      </rPr>
      <t>m</t>
    </r>
    <r>
      <rPr>
        <vertAlign val="subscript"/>
        <sz val="12"/>
        <rFont val="Calibri"/>
        <family val="2"/>
        <charset val="204"/>
      </rPr>
      <t>0</t>
    </r>
    <r>
      <rPr>
        <vertAlign val="superscript"/>
        <sz val="12"/>
        <rFont val="Calibri"/>
        <family val="2"/>
        <charset val="204"/>
      </rPr>
      <t>2</t>
    </r>
    <r>
      <rPr>
        <sz val="12"/>
        <rFont val="Calibri"/>
        <family val="2"/>
        <charset val="204"/>
      </rPr>
      <t>+m</t>
    </r>
    <r>
      <rPr>
        <vertAlign val="subscript"/>
        <sz val="12"/>
        <rFont val="Calibri"/>
        <family val="2"/>
        <charset val="204"/>
      </rPr>
      <t>i</t>
    </r>
    <r>
      <rPr>
        <vertAlign val="superscript"/>
        <sz val="12"/>
        <rFont val="Calibri"/>
        <family val="2"/>
        <charset val="204"/>
      </rPr>
      <t>2</t>
    </r>
    <r>
      <rPr>
        <sz val="12"/>
        <rFont val="Calibri"/>
        <family val="2"/>
        <charset val="204"/>
      </rPr>
      <t>=</t>
    </r>
  </si>
  <si>
    <t>геодезический метод</t>
  </si>
  <si>
    <t>Площадь земельного участка</t>
  </si>
  <si>
    <t>Условный номер земельного участка</t>
  </si>
  <si>
    <t>Обозначение характерных точек границ</t>
  </si>
  <si>
    <r>
      <t>м</t>
    </r>
    <r>
      <rPr>
        <vertAlign val="superscript"/>
        <sz val="10"/>
        <rFont val="Arial Cyr"/>
        <charset val="204"/>
      </rPr>
      <t>2</t>
    </r>
  </si>
  <si>
    <t>29:15:061201:4506:ЗУ1</t>
  </si>
  <si>
    <t xml:space="preserve">          в точке  X=2506527.8700  Y=471639.6800  Z=   0.0000</t>
  </si>
  <si>
    <t xml:space="preserve">          в точке  X=2506543.1500  Y=471661.6000  Z=   0.0000</t>
  </si>
  <si>
    <t xml:space="preserve">          в точке  X=2506553.7300  Y=471653.0600  Z=   0.0000</t>
  </si>
  <si>
    <t xml:space="preserve">          в точке  X=2506553.2000  Y=471650.1500  Z=   0.0000</t>
  </si>
  <si>
    <t xml:space="preserve">          в точке  X=2506539.9100  Y=471631.0800  Z=   0.0000</t>
  </si>
  <si>
    <t xml:space="preserve">          в точке  X=2506544.6000  Y=471663.6900  Z=   0.0000</t>
  </si>
  <si>
    <t xml:space="preserve">          в точке  X=2506556.6000  Y=471655.0400  Z=   0.0000</t>
  </si>
  <si>
    <t xml:space="preserve">          в точке  X=2506538.2700  Y=471628.7200  Z=   0.0000</t>
  </si>
  <si>
    <t xml:space="preserve">          в точке  X=2506526.5200  Y=471637.7500  Z=   0.0000</t>
  </si>
  <si>
    <t>3 кл</t>
  </si>
  <si>
    <t>4 кл</t>
  </si>
  <si>
    <t>Свидетельство о поверке 
№ 152561  от 02.03.2017 г.
действительно до 02.03.2017 г.</t>
  </si>
  <si>
    <t>EPOCH - 10</t>
  </si>
  <si>
    <t>Свидетельство о поверке 
№ 152832  от 02.03.2017 г.
действительно до 02.03.2017 г.</t>
  </si>
  <si>
    <t>Свидетельство о поверке 
№ 152833  от 02.03.2017 г.
действительно до 02.03.2017 г.</t>
  </si>
  <si>
    <t>Свидетельство о поверке 
№ 152834  от 02.03.2017 г.
действительно до 02.03.2017 г.</t>
  </si>
  <si>
    <t>2. Сведения о геодезической основе, использованной при подготовке проекта межевания территории</t>
  </si>
  <si>
    <t>,</t>
  </si>
  <si>
    <t>29:15:060401:259:ЗУ1</t>
  </si>
  <si>
    <t xml:space="preserve">          в точке  X=2507730.0000  Y=471494.6100  Z=   1.9400</t>
  </si>
  <si>
    <t xml:space="preserve">          в точке  X=2507736.2800  Y=471496.3600  Z=   1.9400</t>
  </si>
  <si>
    <t xml:space="preserve">          в точке  X=2507737.7200  Y=471496.7700  Z=   1.9400</t>
  </si>
  <si>
    <t xml:space="preserve">          в точке  X=2507738.9700  Y=471492.3400  Z=   1.9400</t>
  </si>
  <si>
    <t xml:space="preserve">          в точке  X=2507737.5200  Y=471491.9300  Z=   1.9400</t>
  </si>
  <si>
    <t xml:space="preserve">          в точке  X=2507731.2631  Y=471490.1794  Z=   1.9400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</si>
</sst>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F800]dddd\,\ mmmm\ dd\,\ yyyy"/>
    <numFmt numFmtId="165" formatCode="\н0"/>
    <numFmt numFmtId="166" formatCode="0.0"/>
    <numFmt numFmtId="167" formatCode="000000000000__\о\т"/>
    <numFmt numFmtId="168" formatCode="\Т\П0"/>
    <numFmt numFmtId="169" formatCode="\+0.00"/>
    <numFmt numFmtId="170" formatCode="&quot;√&quot;0.00"/>
  </numFmts>
  <fonts count="53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5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8"/>
      <name val="Arial Cyr"/>
      <charset val="204"/>
    </font>
    <font>
      <u/>
      <sz val="10"/>
      <name val="Arial Cyr"/>
      <charset val="204"/>
    </font>
    <font>
      <i/>
      <sz val="11"/>
      <color indexed="8"/>
      <name val="Times New Roman"/>
      <family val="1"/>
      <charset val="204"/>
    </font>
    <font>
      <i/>
      <sz val="10"/>
      <name val="Arial Cyr"/>
      <charset val="204"/>
    </font>
    <font>
      <i/>
      <u/>
      <sz val="12"/>
      <color indexed="8"/>
      <name val="Times New Roman"/>
      <family val="1"/>
      <charset val="204"/>
    </font>
    <font>
      <i/>
      <u/>
      <sz val="12"/>
      <name val="Arial Cyr"/>
      <charset val="204"/>
    </font>
    <font>
      <i/>
      <sz val="12"/>
      <name val="Times New Roman"/>
      <family val="1"/>
      <charset val="204"/>
    </font>
    <font>
      <i/>
      <sz val="12"/>
      <name val="Arial Cyr"/>
      <charset val="204"/>
    </font>
    <font>
      <sz val="12"/>
      <name val="Times New Roman"/>
      <family val="1"/>
      <charset val="204"/>
    </font>
    <font>
      <sz val="12"/>
      <name val="Arial Cyr"/>
      <charset val="204"/>
    </font>
    <font>
      <sz val="14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1"/>
      <color indexed="8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name val="Arial Cyr"/>
      <charset val="204"/>
    </font>
    <font>
      <sz val="12"/>
      <name val="Arial Cyr"/>
      <family val="2"/>
      <charset val="204"/>
    </font>
    <font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i/>
      <sz val="10"/>
      <name val="Arial Cyr"/>
      <family val="2"/>
      <charset val="204"/>
    </font>
    <font>
      <sz val="11"/>
      <color indexed="8"/>
      <name val="Arial Cur"/>
      <charset val="204"/>
    </font>
    <font>
      <sz val="10"/>
      <color indexed="8"/>
      <name val="Arial Cur"/>
      <charset val="204"/>
    </font>
    <font>
      <sz val="10"/>
      <name val="Arial Cur"/>
      <charset val="204"/>
    </font>
    <font>
      <b/>
      <sz val="15"/>
      <color indexed="8"/>
      <name val="Times New Roman"/>
      <family val="1"/>
      <charset val="204"/>
    </font>
    <font>
      <b/>
      <sz val="10"/>
      <name val="Arial Cyr"/>
      <charset val="204"/>
    </font>
    <font>
      <u/>
      <sz val="11"/>
      <color indexed="8"/>
      <name val="Arial Cur"/>
      <charset val="204"/>
    </font>
    <font>
      <b/>
      <vertAlign val="subscript"/>
      <sz val="11"/>
      <color indexed="8"/>
      <name val="Times New Roman"/>
      <family val="1"/>
      <charset val="204"/>
    </font>
    <font>
      <i/>
      <sz val="9"/>
      <name val="Times New Roman"/>
      <family val="1"/>
      <charset val="204"/>
    </font>
    <font>
      <b/>
      <vertAlign val="superscript"/>
      <sz val="11"/>
      <color indexed="8"/>
      <name val="Times New Roman"/>
      <family val="1"/>
      <charset val="204"/>
    </font>
    <font>
      <sz val="9"/>
      <name val="Arial Cyr"/>
      <charset val="204"/>
    </font>
    <font>
      <u val="singleAccounting"/>
      <sz val="11"/>
      <color indexed="8"/>
      <name val="Times New Roman"/>
      <family val="1"/>
      <charset val="204"/>
    </font>
    <font>
      <vertAlign val="subscript"/>
      <sz val="10"/>
      <color indexed="8"/>
      <name val="Times New Roman"/>
      <family val="1"/>
      <charset val="204"/>
    </font>
    <font>
      <vertAlign val="superscript"/>
      <sz val="8"/>
      <name val="Arial Cyr"/>
      <charset val="204"/>
    </font>
    <font>
      <u/>
      <sz val="12"/>
      <name val="Arial Cyr"/>
      <charset val="204"/>
    </font>
    <font>
      <vertAlign val="subscript"/>
      <sz val="10"/>
      <name val="Arial Cyr"/>
      <charset val="204"/>
    </font>
    <font>
      <sz val="16"/>
      <color indexed="8"/>
      <name val="Calibri"/>
      <family val="2"/>
      <charset val="204"/>
    </font>
    <font>
      <sz val="14"/>
      <name val="Calibri"/>
      <family val="2"/>
      <charset val="204"/>
    </font>
    <font>
      <sz val="12"/>
      <name val="Calibri"/>
      <family val="2"/>
      <charset val="204"/>
    </font>
    <font>
      <vertAlign val="subscript"/>
      <sz val="12"/>
      <name val="Calibri"/>
      <family val="2"/>
      <charset val="204"/>
    </font>
    <font>
      <vertAlign val="superscript"/>
      <sz val="12"/>
      <name val="Calibri"/>
      <family val="2"/>
      <charset val="204"/>
    </font>
    <font>
      <vertAlign val="superscript"/>
      <sz val="10"/>
      <name val="Arial Cyr"/>
      <charset val="204"/>
    </font>
    <font>
      <u/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25" fillId="0" borderId="0" xfId="0" applyFont="1"/>
    <xf numFmtId="0" fontId="20" fillId="2" borderId="3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1" fillId="0" borderId="0" xfId="0" applyFont="1"/>
    <xf numFmtId="0" fontId="20" fillId="2" borderId="4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6" xfId="0" applyBorder="1"/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17" fillId="2" borderId="13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wrapText="1"/>
    </xf>
    <xf numFmtId="0" fontId="20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right" vertical="center" wrapText="1"/>
    </xf>
    <xf numFmtId="14" fontId="15" fillId="2" borderId="16" xfId="0" applyNumberFormat="1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wrapText="1"/>
    </xf>
    <xf numFmtId="0" fontId="11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" fontId="16" fillId="0" borderId="17" xfId="0" applyNumberFormat="1" applyFont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165" fontId="30" fillId="2" borderId="7" xfId="0" applyNumberFormat="1" applyFont="1" applyFill="1" applyBorder="1" applyAlignment="1">
      <alignment horizontal="center" vertical="center" wrapText="1"/>
    </xf>
    <xf numFmtId="2" fontId="30" fillId="2" borderId="8" xfId="0" applyNumberFormat="1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5" fontId="30" fillId="2" borderId="14" xfId="0" applyNumberFormat="1" applyFont="1" applyFill="1" applyBorder="1" applyAlignment="1">
      <alignment horizontal="center" vertical="center" wrapText="1"/>
    </xf>
    <xf numFmtId="165" fontId="30" fillId="2" borderId="8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wrapText="1"/>
    </xf>
    <xf numFmtId="0" fontId="17" fillId="2" borderId="19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27" fillId="0" borderId="0" xfId="0" applyNumberFormat="1" applyFont="1" applyBorder="1"/>
    <xf numFmtId="0" fontId="27" fillId="0" borderId="0" xfId="0" applyFont="1" applyBorder="1" applyAlignment="1">
      <alignment horizontal="center"/>
    </xf>
    <xf numFmtId="166" fontId="27" fillId="0" borderId="0" xfId="0" applyNumberFormat="1" applyFont="1" applyBorder="1" applyAlignment="1">
      <alignment horizontal="center"/>
    </xf>
    <xf numFmtId="0" fontId="27" fillId="0" borderId="0" xfId="0" applyFont="1" applyBorder="1" applyAlignment="1">
      <alignment horizontal="center" vertical="center"/>
    </xf>
    <xf numFmtId="2" fontId="27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4" fontId="15" fillId="2" borderId="18" xfId="0" applyNumberFormat="1" applyFont="1" applyFill="1" applyBorder="1" applyAlignment="1">
      <alignment horizontal="right" vertical="center" wrapText="1"/>
    </xf>
    <xf numFmtId="14" fontId="15" fillId="2" borderId="20" xfId="0" applyNumberFormat="1" applyFont="1" applyFill="1" applyBorder="1" applyAlignment="1">
      <alignment horizontal="right" vertical="center" wrapText="1"/>
    </xf>
    <xf numFmtId="0" fontId="28" fillId="0" borderId="8" xfId="0" applyFont="1" applyBorder="1" applyAlignment="1">
      <alignment horizontal="center" wrapText="1"/>
    </xf>
    <xf numFmtId="0" fontId="27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165" fontId="27" fillId="0" borderId="8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/>
    </xf>
    <xf numFmtId="166" fontId="27" fillId="0" borderId="8" xfId="0" applyNumberFormat="1" applyFont="1" applyBorder="1" applyAlignment="1">
      <alignment horizontal="center"/>
    </xf>
    <xf numFmtId="2" fontId="27" fillId="0" borderId="8" xfId="0" applyNumberFormat="1" applyFont="1" applyBorder="1" applyAlignment="1">
      <alignment horizontal="center"/>
    </xf>
    <xf numFmtId="0" fontId="15" fillId="2" borderId="21" xfId="0" applyFont="1" applyFill="1" applyBorder="1" applyAlignment="1">
      <alignment vertical="top" wrapText="1"/>
    </xf>
    <xf numFmtId="0" fontId="17" fillId="2" borderId="22" xfId="0" applyFont="1" applyFill="1" applyBorder="1" applyAlignment="1">
      <alignment horizontal="center" wrapText="1"/>
    </xf>
    <xf numFmtId="0" fontId="17" fillId="2" borderId="23" xfId="0" applyFont="1" applyFill="1" applyBorder="1" applyAlignment="1">
      <alignment horizont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right" vertical="center" wrapText="1"/>
    </xf>
    <xf numFmtId="0" fontId="17" fillId="2" borderId="26" xfId="0" applyFont="1" applyFill="1" applyBorder="1" applyAlignment="1">
      <alignment horizontal="right" vertical="center" wrapText="1"/>
    </xf>
    <xf numFmtId="0" fontId="17" fillId="2" borderId="26" xfId="0" applyFont="1" applyFill="1" applyBorder="1" applyAlignment="1">
      <alignment horizontal="left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wrapText="1"/>
    </xf>
    <xf numFmtId="165" fontId="30" fillId="2" borderId="24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wrapText="1"/>
    </xf>
    <xf numFmtId="2" fontId="30" fillId="2" borderId="15" xfId="0" applyNumberFormat="1" applyFont="1" applyFill="1" applyBorder="1" applyAlignment="1">
      <alignment horizontal="center" vertical="center" wrapText="1"/>
    </xf>
    <xf numFmtId="165" fontId="30" fillId="2" borderId="10" xfId="0" applyNumberFormat="1" applyFont="1" applyFill="1" applyBorder="1" applyAlignment="1">
      <alignment horizontal="center" vertical="center" wrapText="1"/>
    </xf>
    <xf numFmtId="2" fontId="30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right" vertical="center"/>
    </xf>
    <xf numFmtId="0" fontId="11" fillId="2" borderId="17" xfId="0" applyFont="1" applyFill="1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center" wrapText="1"/>
    </xf>
    <xf numFmtId="0" fontId="45" fillId="2" borderId="20" xfId="0" applyFont="1" applyFill="1" applyBorder="1" applyAlignment="1">
      <alignment horizontal="right" vertical="center" wrapText="1"/>
    </xf>
    <xf numFmtId="0" fontId="26" fillId="0" borderId="53" xfId="0" applyFont="1" applyBorder="1"/>
    <xf numFmtId="2" fontId="27" fillId="0" borderId="8" xfId="0" applyNumberFormat="1" applyFont="1" applyBorder="1" applyAlignment="1">
      <alignment horizontal="right"/>
    </xf>
    <xf numFmtId="2" fontId="27" fillId="0" borderId="29" xfId="0" applyNumberFormat="1" applyFont="1" applyBorder="1" applyAlignment="1">
      <alignment horizontal="right"/>
    </xf>
    <xf numFmtId="170" fontId="0" fillId="0" borderId="18" xfId="0" applyNumberFormat="1" applyFont="1" applyBorder="1" applyAlignment="1">
      <alignment horizontal="right" vertical="center" wrapText="1"/>
    </xf>
    <xf numFmtId="169" fontId="0" fillId="0" borderId="18" xfId="0" applyNumberFormat="1" applyBorder="1" applyAlignment="1">
      <alignment horizontal="left" vertical="center" wrapText="1"/>
    </xf>
    <xf numFmtId="1" fontId="27" fillId="0" borderId="8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8" xfId="0" applyBorder="1"/>
    <xf numFmtId="0" fontId="0" fillId="0" borderId="30" xfId="0" applyBorder="1"/>
    <xf numFmtId="0" fontId="0" fillId="0" borderId="9" xfId="0" applyBorder="1" applyAlignment="1">
      <alignment wrapText="1" shrinkToFit="1"/>
    </xf>
    <xf numFmtId="0" fontId="0" fillId="0" borderId="18" xfId="0" applyBorder="1" applyAlignment="1">
      <alignment wrapText="1" shrinkToFit="1"/>
    </xf>
    <xf numFmtId="0" fontId="23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2" fontId="27" fillId="0" borderId="9" xfId="0" applyNumberFormat="1" applyFont="1" applyBorder="1" applyAlignment="1">
      <alignment horizontal="right"/>
    </xf>
    <xf numFmtId="2" fontId="27" fillId="0" borderId="30" xfId="0" applyNumberFormat="1" applyFont="1" applyBorder="1" applyAlignment="1">
      <alignment horizontal="right"/>
    </xf>
    <xf numFmtId="0" fontId="27" fillId="0" borderId="33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0" fillId="0" borderId="0" xfId="0" applyAlignment="1"/>
    <xf numFmtId="0" fontId="29" fillId="0" borderId="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0" fillId="0" borderId="0" xfId="0" applyAlignment="1">
      <alignment horizontal="right"/>
    </xf>
    <xf numFmtId="0" fontId="27" fillId="0" borderId="18" xfId="0" applyFont="1" applyBorder="1" applyAlignment="1">
      <alignment horizontal="right"/>
    </xf>
    <xf numFmtId="0" fontId="0" fillId="0" borderId="18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27" fillId="0" borderId="29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wrapText="1"/>
    </xf>
    <xf numFmtId="0" fontId="7" fillId="2" borderId="15" xfId="0" applyFont="1" applyFill="1" applyBorder="1" applyAlignment="1">
      <alignment wrapText="1"/>
    </xf>
    <xf numFmtId="0" fontId="0" fillId="0" borderId="19" xfId="0" applyBorder="1" applyAlignment="1">
      <alignment wrapText="1"/>
    </xf>
    <xf numFmtId="0" fontId="13" fillId="2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3" fillId="2" borderId="18" xfId="0" quotePrefix="1" applyFont="1" applyFill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3" xfId="0" applyBorder="1" applyAlignment="1">
      <alignment wrapText="1"/>
    </xf>
    <xf numFmtId="0" fontId="13" fillId="2" borderId="7" xfId="0" applyFont="1" applyFill="1" applyBorder="1" applyAlignment="1">
      <alignment vertical="top" wrapText="1"/>
    </xf>
    <xf numFmtId="0" fontId="14" fillId="0" borderId="8" xfId="0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3" fillId="2" borderId="10" xfId="0" applyFon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164" fontId="14" fillId="0" borderId="18" xfId="0" applyNumberFormat="1" applyFont="1" applyBorder="1" applyAlignment="1">
      <alignment horizontal="center" wrapText="1"/>
    </xf>
    <xf numFmtId="164" fontId="14" fillId="0" borderId="16" xfId="0" applyNumberFormat="1" applyFont="1" applyBorder="1" applyAlignment="1">
      <alignment horizont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2" borderId="40" xfId="0" applyFont="1" applyFill="1" applyBorder="1" applyAlignment="1">
      <alignment vertical="top" wrapText="1"/>
    </xf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49" fontId="13" fillId="2" borderId="18" xfId="0" applyNumberFormat="1" applyFont="1" applyFill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wrapText="1"/>
    </xf>
    <xf numFmtId="0" fontId="15" fillId="2" borderId="8" xfId="0" applyFont="1" applyFill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5" fillId="2" borderId="43" xfId="0" applyFont="1" applyFill="1" applyBorder="1" applyAlignment="1">
      <alignment vertical="top" wrapText="1"/>
    </xf>
    <xf numFmtId="0" fontId="0" fillId="0" borderId="32" xfId="0" applyBorder="1" applyAlignment="1">
      <alignment wrapText="1"/>
    </xf>
    <xf numFmtId="0" fontId="0" fillId="0" borderId="44" xfId="0" applyBorder="1" applyAlignment="1">
      <alignment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6" fillId="2" borderId="36" xfId="0" applyFont="1" applyFill="1" applyBorder="1" applyAlignment="1">
      <alignment horizontal="center" wrapText="1"/>
    </xf>
    <xf numFmtId="0" fontId="6" fillId="2" borderId="37" xfId="0" applyFont="1" applyFill="1" applyBorder="1" applyAlignment="1">
      <alignment horizontal="center" wrapText="1"/>
    </xf>
    <xf numFmtId="0" fontId="0" fillId="0" borderId="38" xfId="0" applyBorder="1" applyAlignment="1">
      <alignment wrapText="1"/>
    </xf>
    <xf numFmtId="0" fontId="15" fillId="2" borderId="39" xfId="0" applyFont="1" applyFill="1" applyBorder="1" applyAlignment="1">
      <alignment horizontal="center" vertical="top" wrapText="1"/>
    </xf>
    <xf numFmtId="0" fontId="15" fillId="2" borderId="20" xfId="0" applyFont="1" applyFill="1" applyBorder="1" applyAlignment="1">
      <alignment horizontal="center" vertical="top" wrapText="1"/>
    </xf>
    <xf numFmtId="0" fontId="16" fillId="0" borderId="1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3" fillId="2" borderId="34" xfId="0" applyFont="1" applyFill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" fillId="0" borderId="40" xfId="0" applyFont="1" applyBorder="1" applyAlignment="1">
      <alignment wrapText="1"/>
    </xf>
    <xf numFmtId="0" fontId="2" fillId="0" borderId="41" xfId="0" applyFont="1" applyBorder="1" applyAlignment="1">
      <alignment wrapText="1"/>
    </xf>
    <xf numFmtId="0" fontId="20" fillId="2" borderId="9" xfId="0" applyFont="1" applyFill="1" applyBorder="1" applyAlignment="1">
      <alignment horizontal="left" wrapText="1"/>
    </xf>
    <xf numFmtId="0" fontId="20" fillId="2" borderId="18" xfId="0" applyFont="1" applyFill="1" applyBorder="1" applyAlignment="1">
      <alignment horizontal="left" wrapText="1"/>
    </xf>
    <xf numFmtId="0" fontId="0" fillId="0" borderId="18" xfId="0" applyBorder="1" applyAlignment="1">
      <alignment wrapText="1"/>
    </xf>
    <xf numFmtId="0" fontId="0" fillId="0" borderId="30" xfId="0" applyBorder="1" applyAlignment="1">
      <alignment wrapText="1"/>
    </xf>
    <xf numFmtId="0" fontId="17" fillId="2" borderId="47" xfId="0" applyFont="1" applyFill="1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17" fillId="2" borderId="31" xfId="0" applyFont="1" applyFill="1" applyBorder="1" applyAlignment="1">
      <alignment horizontal="left" wrapText="1"/>
    </xf>
    <xf numFmtId="0" fontId="17" fillId="2" borderId="32" xfId="0" applyFont="1" applyFill="1" applyBorder="1" applyAlignment="1">
      <alignment horizontal="left" wrapText="1"/>
    </xf>
    <xf numFmtId="0" fontId="0" fillId="0" borderId="48" xfId="0" applyBorder="1" applyAlignment="1">
      <alignment wrapText="1"/>
    </xf>
    <xf numFmtId="0" fontId="17" fillId="2" borderId="26" xfId="0" applyFont="1" applyFill="1" applyBorder="1" applyAlignment="1">
      <alignment horizontal="left" wrapText="1"/>
    </xf>
    <xf numFmtId="0" fontId="18" fillId="0" borderId="49" xfId="0" applyFont="1" applyBorder="1" applyAlignment="1">
      <alignment wrapText="1"/>
    </xf>
    <xf numFmtId="0" fontId="17" fillId="2" borderId="20" xfId="0" applyFont="1" applyFill="1" applyBorder="1" applyAlignment="1">
      <alignment horizontal="left" wrapText="1"/>
    </xf>
    <xf numFmtId="0" fontId="18" fillId="0" borderId="50" xfId="0" applyFont="1" applyBorder="1" applyAlignment="1">
      <alignment wrapText="1"/>
    </xf>
    <xf numFmtId="0" fontId="17" fillId="2" borderId="9" xfId="0" applyFont="1" applyFill="1" applyBorder="1" applyAlignment="1">
      <alignment horizontal="left" wrapText="1"/>
    </xf>
    <xf numFmtId="0" fontId="17" fillId="2" borderId="18" xfId="0" applyFont="1" applyFill="1" applyBorder="1" applyAlignment="1">
      <alignment horizontal="left" wrapText="1"/>
    </xf>
    <xf numFmtId="0" fontId="19" fillId="2" borderId="36" xfId="0" applyFont="1" applyFill="1" applyBorder="1" applyAlignment="1">
      <alignment horizontal="center" wrapText="1"/>
    </xf>
    <xf numFmtId="0" fontId="19" fillId="2" borderId="37" xfId="0" applyFont="1" applyFill="1" applyBorder="1" applyAlignment="1">
      <alignment horizontal="center" wrapText="1"/>
    </xf>
    <xf numFmtId="0" fontId="19" fillId="2" borderId="38" xfId="0" applyFont="1" applyFill="1" applyBorder="1" applyAlignment="1">
      <alignment horizontal="center" wrapText="1"/>
    </xf>
    <xf numFmtId="0" fontId="19" fillId="2" borderId="39" xfId="0" applyFont="1" applyFill="1" applyBorder="1" applyAlignment="1">
      <alignment horizontal="center" wrapText="1"/>
    </xf>
    <xf numFmtId="0" fontId="19" fillId="2" borderId="20" xfId="0" applyFont="1" applyFill="1" applyBorder="1" applyAlignment="1">
      <alignment horizontal="center" wrapText="1"/>
    </xf>
    <xf numFmtId="0" fontId="19" fillId="2" borderId="17" xfId="0" applyFont="1" applyFill="1" applyBorder="1" applyAlignment="1">
      <alignment horizontal="center" wrapText="1"/>
    </xf>
    <xf numFmtId="0" fontId="3" fillId="2" borderId="45" xfId="0" applyFont="1" applyFill="1" applyBorder="1" applyAlignment="1">
      <alignment horizontal="center" wrapText="1"/>
    </xf>
    <xf numFmtId="0" fontId="3" fillId="2" borderId="37" xfId="0" applyFont="1" applyFill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23" fillId="2" borderId="8" xfId="0" applyFont="1" applyFill="1" applyBorder="1" applyAlignment="1">
      <alignment horizontal="center" wrapText="1"/>
    </xf>
    <xf numFmtId="168" fontId="7" fillId="2" borderId="8" xfId="0" applyNumberFormat="1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5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wrapText="1"/>
    </xf>
    <xf numFmtId="2" fontId="7" fillId="2" borderId="8" xfId="0" applyNumberFormat="1" applyFont="1" applyFill="1" applyBorder="1" applyAlignment="1">
      <alignment horizontal="center" wrapText="1"/>
    </xf>
    <xf numFmtId="2" fontId="0" fillId="0" borderId="13" xfId="0" applyNumberFormat="1" applyFont="1" applyBorder="1" applyAlignment="1">
      <alignment horizontal="center" wrapText="1"/>
    </xf>
    <xf numFmtId="0" fontId="7" fillId="2" borderId="8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wrapText="1"/>
    </xf>
    <xf numFmtId="0" fontId="23" fillId="2" borderId="42" xfId="0" applyFont="1" applyFill="1" applyBorder="1" applyAlignment="1">
      <alignment horizontal="center" wrapText="1"/>
    </xf>
    <xf numFmtId="0" fontId="23" fillId="2" borderId="12" xfId="0" applyFont="1" applyFill="1" applyBorder="1" applyAlignment="1">
      <alignment horizontal="center" wrapText="1"/>
    </xf>
    <xf numFmtId="0" fontId="20" fillId="2" borderId="15" xfId="0" applyFont="1" applyFill="1" applyBorder="1" applyAlignment="1">
      <alignment horizontal="center" wrapText="1"/>
    </xf>
    <xf numFmtId="0" fontId="25" fillId="0" borderId="15" xfId="0" applyFont="1" applyBorder="1" applyAlignment="1"/>
    <xf numFmtId="0" fontId="25" fillId="0" borderId="19" xfId="0" applyFont="1" applyBorder="1" applyAlignment="1"/>
    <xf numFmtId="0" fontId="20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wrapText="1"/>
    </xf>
    <xf numFmtId="0" fontId="0" fillId="0" borderId="8" xfId="0" applyBorder="1" applyAlignment="1"/>
    <xf numFmtId="0" fontId="0" fillId="0" borderId="13" xfId="0" applyBorder="1" applyAlignment="1"/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8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0" fillId="0" borderId="13" xfId="0" applyFont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20" fillId="2" borderId="4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 wrapText="1"/>
    </xf>
    <xf numFmtId="0" fontId="0" fillId="0" borderId="8" xfId="0" applyFont="1" applyBorder="1" applyAlignment="1"/>
    <xf numFmtId="0" fontId="25" fillId="0" borderId="8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wrapText="1"/>
    </xf>
    <xf numFmtId="0" fontId="0" fillId="0" borderId="18" xfId="0" applyFont="1" applyBorder="1" applyAlignment="1">
      <alignment horizontal="center" wrapText="1"/>
    </xf>
    <xf numFmtId="0" fontId="51" fillId="2" borderId="18" xfId="0" applyFont="1" applyFill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5" fillId="2" borderId="18" xfId="0" applyNumberFormat="1" applyFont="1" applyFill="1" applyBorder="1" applyAlignment="1">
      <alignment horizontal="left" vertical="center" wrapText="1"/>
    </xf>
    <xf numFmtId="0" fontId="0" fillId="0" borderId="18" xfId="0" applyNumberFormat="1" applyBorder="1" applyAlignment="1">
      <alignment horizontal="left" vertical="center" wrapText="1"/>
    </xf>
    <xf numFmtId="167" fontId="15" fillId="2" borderId="18" xfId="0" applyNumberFormat="1" applyFont="1" applyFill="1" applyBorder="1" applyAlignment="1">
      <alignment horizontal="left" vertical="center" wrapText="1"/>
    </xf>
    <xf numFmtId="167" fontId="0" fillId="0" borderId="18" xfId="0" applyNumberFormat="1" applyBorder="1" applyAlignment="1">
      <alignment horizontal="left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0" fillId="0" borderId="51" xfId="0" applyBorder="1" applyAlignment="1">
      <alignment wrapText="1"/>
    </xf>
    <xf numFmtId="0" fontId="4" fillId="2" borderId="36" xfId="0" applyFont="1" applyFill="1" applyBorder="1" applyAlignment="1">
      <alignment horizontal="center" wrapText="1"/>
    </xf>
    <xf numFmtId="0" fontId="4" fillId="2" borderId="37" xfId="0" applyFont="1" applyFill="1" applyBorder="1" applyAlignment="1">
      <alignment horizontal="center" wrapText="1"/>
    </xf>
    <xf numFmtId="0" fontId="4" fillId="2" borderId="38" xfId="0" applyFont="1" applyFill="1" applyBorder="1" applyAlignment="1">
      <alignment horizontal="center" wrapText="1"/>
    </xf>
    <xf numFmtId="0" fontId="4" fillId="2" borderId="39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8" xfId="0" applyBorder="1"/>
    <xf numFmtId="0" fontId="17" fillId="2" borderId="47" xfId="0" applyFont="1" applyFill="1" applyBorder="1" applyAlignment="1">
      <alignment horizontal="center" vertical="center" wrapText="1"/>
    </xf>
    <xf numFmtId="0" fontId="17" fillId="2" borderId="50" xfId="0" applyFont="1" applyFill="1" applyBorder="1" applyAlignment="1">
      <alignment horizontal="center" vertical="center" wrapText="1"/>
    </xf>
    <xf numFmtId="0" fontId="37" fillId="2" borderId="47" xfId="0" applyFont="1" applyFill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0" fillId="2" borderId="18" xfId="0" applyFont="1" applyFill="1" applyBorder="1" applyAlignment="1">
      <alignment horizontal="center" wrapText="1"/>
    </xf>
    <xf numFmtId="0" fontId="40" fillId="2" borderId="16" xfId="0" applyFont="1" applyFill="1" applyBorder="1" applyAlignment="1">
      <alignment horizontal="center" wrapText="1"/>
    </xf>
    <xf numFmtId="0" fontId="0" fillId="0" borderId="38" xfId="0" applyBorder="1" applyAlignment="1"/>
    <xf numFmtId="0" fontId="0" fillId="0" borderId="17" xfId="0" applyBorder="1" applyAlignment="1"/>
    <xf numFmtId="0" fontId="3" fillId="2" borderId="10" xfId="0" applyFont="1" applyFill="1" applyBorder="1" applyAlignment="1">
      <alignment horizontal="right" wrapText="1"/>
    </xf>
    <xf numFmtId="0" fontId="0" fillId="0" borderId="18" xfId="0" applyBorder="1" applyAlignment="1">
      <alignment horizontal="right" wrapText="1"/>
    </xf>
    <xf numFmtId="0" fontId="3" fillId="2" borderId="3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 wrapText="1"/>
    </xf>
    <xf numFmtId="0" fontId="0" fillId="0" borderId="32" xfId="0" applyFont="1" applyBorder="1" applyAlignment="1"/>
    <xf numFmtId="0" fontId="0" fillId="0" borderId="48" xfId="0" applyFont="1" applyBorder="1" applyAlignment="1"/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/>
    <xf numFmtId="0" fontId="0" fillId="0" borderId="49" xfId="0" applyFont="1" applyBorder="1" applyAlignment="1"/>
    <xf numFmtId="2" fontId="30" fillId="2" borderId="8" xfId="0" applyNumberFormat="1" applyFont="1" applyFill="1" applyBorder="1" applyAlignment="1">
      <alignment horizontal="center" vertical="center" wrapText="1"/>
    </xf>
    <xf numFmtId="2" fontId="32" fillId="0" borderId="8" xfId="0" applyNumberFormat="1" applyFont="1" applyBorder="1" applyAlignment="1">
      <alignment horizontal="center" vertical="center" wrapText="1"/>
    </xf>
    <xf numFmtId="2" fontId="30" fillId="2" borderId="9" xfId="0" applyNumberFormat="1" applyFont="1" applyFill="1" applyBorder="1" applyAlignment="1">
      <alignment horizontal="center" vertical="center" wrapText="1"/>
    </xf>
    <xf numFmtId="2" fontId="30" fillId="2" borderId="18" xfId="0" applyNumberFormat="1" applyFont="1" applyFill="1" applyBorder="1" applyAlignment="1">
      <alignment horizontal="center" vertical="center" wrapText="1"/>
    </xf>
    <xf numFmtId="2" fontId="30" fillId="2" borderId="30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horizontal="center" wrapText="1"/>
    </xf>
    <xf numFmtId="2" fontId="30" fillId="2" borderId="28" xfId="0" applyNumberFormat="1" applyFont="1" applyFill="1" applyBorder="1" applyAlignment="1">
      <alignment horizontal="center" vertical="center" wrapText="1"/>
    </xf>
    <xf numFmtId="2" fontId="32" fillId="0" borderId="28" xfId="0" applyNumberFormat="1" applyFont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top" wrapText="1"/>
    </xf>
    <xf numFmtId="0" fontId="18" fillId="0" borderId="28" xfId="0" applyFont="1" applyBorder="1" applyAlignment="1">
      <alignment horizont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wrapText="1"/>
    </xf>
    <xf numFmtId="0" fontId="30" fillId="2" borderId="9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0" fillId="0" borderId="16" xfId="0" applyBorder="1" applyAlignment="1"/>
    <xf numFmtId="0" fontId="3" fillId="2" borderId="15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30" fillId="2" borderId="9" xfId="0" applyFont="1" applyFill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right" vertical="center" wrapText="1"/>
    </xf>
    <xf numFmtId="1" fontId="30" fillId="2" borderId="8" xfId="0" applyNumberFormat="1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top" wrapText="1"/>
    </xf>
    <xf numFmtId="0" fontId="18" fillId="0" borderId="15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2" fontId="30" fillId="2" borderId="15" xfId="0" applyNumberFormat="1" applyFont="1" applyFill="1" applyBorder="1" applyAlignment="1">
      <alignment horizontal="center" vertical="center" wrapText="1"/>
    </xf>
    <xf numFmtId="2" fontId="32" fillId="0" borderId="15" xfId="0" applyNumberFormat="1" applyFont="1" applyBorder="1" applyAlignment="1">
      <alignment horizontal="center" vertical="center" wrapText="1"/>
    </xf>
    <xf numFmtId="1" fontId="30" fillId="2" borderId="18" xfId="0" applyNumberFormat="1" applyFont="1" applyFill="1" applyBorder="1" applyAlignment="1">
      <alignment horizontal="left" vertical="center" wrapText="1"/>
    </xf>
    <xf numFmtId="1" fontId="32" fillId="0" borderId="16" xfId="0" applyNumberFormat="1" applyFont="1" applyBorder="1" applyAlignment="1">
      <alignment horizontal="left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0" fillId="0" borderId="48" xfId="0" applyBorder="1" applyAlignment="1"/>
    <xf numFmtId="0" fontId="9" fillId="0" borderId="25" xfId="0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49" xfId="0" applyBorder="1" applyAlignment="1"/>
    <xf numFmtId="0" fontId="20" fillId="2" borderId="13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vertical="top" wrapText="1"/>
    </xf>
    <xf numFmtId="0" fontId="17" fillId="2" borderId="42" xfId="0" applyFont="1" applyFill="1" applyBorder="1" applyAlignment="1">
      <alignment vertical="top" wrapText="1"/>
    </xf>
    <xf numFmtId="0" fontId="17" fillId="2" borderId="12" xfId="0" applyFont="1" applyFill="1" applyBorder="1" applyAlignment="1">
      <alignment vertical="top" wrapText="1"/>
    </xf>
    <xf numFmtId="0" fontId="17" fillId="2" borderId="40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 wrapText="1"/>
    </xf>
    <xf numFmtId="0" fontId="20" fillId="2" borderId="38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W50"/>
  <sheetViews>
    <sheetView zoomScale="70" workbookViewId="0">
      <selection activeCell="F6" sqref="F6:H12"/>
    </sheetView>
  </sheetViews>
  <sheetFormatPr defaultRowHeight="12.75"/>
  <cols>
    <col min="1" max="1" width="18.85546875" customWidth="1"/>
    <col min="2" max="2" width="7.28515625" hidden="1" customWidth="1"/>
    <col min="3" max="3" width="6.42578125" hidden="1" customWidth="1"/>
    <col min="4" max="4" width="9.140625" hidden="1" customWidth="1"/>
    <col min="5" max="5" width="15.42578125" hidden="1" customWidth="1"/>
    <col min="6" max="6" width="14.140625" customWidth="1"/>
    <col min="7" max="7" width="8.140625" customWidth="1"/>
    <col min="8" max="8" width="4.42578125" customWidth="1"/>
  </cols>
  <sheetData>
    <row r="1" spans="1:23">
      <c r="A1" t="s">
        <v>35</v>
      </c>
      <c r="G1" s="115" t="s">
        <v>103</v>
      </c>
      <c r="H1" s="112"/>
    </row>
    <row r="2" spans="1:23" ht="27" customHeight="1">
      <c r="A2" s="102" t="s">
        <v>146</v>
      </c>
      <c r="B2" s="103"/>
      <c r="C2" s="103"/>
      <c r="D2" s="103"/>
      <c r="E2" s="103"/>
      <c r="F2" s="116" t="s">
        <v>168</v>
      </c>
      <c r="G2" s="117"/>
      <c r="H2" s="118"/>
    </row>
    <row r="3" spans="1:23" ht="15" customHeight="1">
      <c r="A3" s="99" t="s">
        <v>145</v>
      </c>
      <c r="B3" s="100"/>
      <c r="C3" s="100"/>
      <c r="D3" s="100"/>
      <c r="E3" s="100"/>
      <c r="G3" s="100">
        <v>599</v>
      </c>
      <c r="H3" s="101" t="s">
        <v>148</v>
      </c>
    </row>
    <row r="4" spans="1:23" ht="15" customHeight="1">
      <c r="A4" s="121" t="s">
        <v>147</v>
      </c>
      <c r="B4" s="123" t="s">
        <v>65</v>
      </c>
      <c r="C4" s="123"/>
      <c r="D4" s="66" t="s">
        <v>66</v>
      </c>
      <c r="E4" s="67" t="s">
        <v>67</v>
      </c>
      <c r="F4" s="124" t="s">
        <v>25</v>
      </c>
      <c r="G4" s="125"/>
      <c r="H4" s="118"/>
    </row>
    <row r="5" spans="1:23" ht="12" customHeight="1" thickBot="1">
      <c r="A5" s="122"/>
      <c r="B5" s="68">
        <v>0</v>
      </c>
      <c r="C5" s="68" t="s">
        <v>68</v>
      </c>
      <c r="D5" s="68">
        <v>0</v>
      </c>
      <c r="E5" s="68" t="s">
        <v>69</v>
      </c>
      <c r="F5" s="68" t="s">
        <v>70</v>
      </c>
      <c r="G5" s="113" t="s">
        <v>71</v>
      </c>
      <c r="H5" s="114"/>
    </row>
    <row r="6" spans="1:23" s="3" customFormat="1" ht="12.95" customHeight="1" thickBot="1">
      <c r="A6" s="69">
        <v>1</v>
      </c>
      <c r="B6" s="70" t="e">
        <f t="shared" ref="B6:B13" si="0">IF(D6="","",TRUNC(D6))</f>
        <v>#VALUE!</v>
      </c>
      <c r="C6" s="71" t="e">
        <f t="shared" ref="C6:C13" si="1">IF(D6="","",(D6-B6)*60)</f>
        <v>#VALUE!</v>
      </c>
      <c r="D6" s="70" t="e">
        <f>IF(OR(F6=0,F7=0,G6=0,G7=0),"",IF(AND((G6-G7)&lt;0,(F6-F7)&lt;0),ATAN((G6-G7)/(F6-F7))*180/PI(),IF((F6-F7)&gt;0,180+ATAN((G6-G7)/(F6-F7))*180/PI(),360+ATAN((G6-G7)/(F6-F7))*180/PI())))</f>
        <v>#VALUE!</v>
      </c>
      <c r="E6" s="72" t="e">
        <f>IF(OR(F6=0,F7=0,G6=0,G7=0),"",SQRT(POWER(F6-F7,2)+POWER(G6-G7,2)))</f>
        <v>#VALUE!</v>
      </c>
      <c r="F6" s="94" t="str">
        <f>MID(L6,38,9)</f>
        <v>471494.61</v>
      </c>
      <c r="G6" s="108" t="str">
        <f>MID(L6,22,10)</f>
        <v>2507730.00</v>
      </c>
      <c r="H6" s="109"/>
      <c r="L6" s="93" t="s">
        <v>169</v>
      </c>
      <c r="S6" s="3" t="s">
        <v>167</v>
      </c>
      <c r="T6" s="3">
        <v>105.75</v>
      </c>
      <c r="W6" s="3" t="str">
        <f>CONCATENATE(A6,S6,F6,S6,G6,S6,T6)</f>
        <v>1,471494.61,2507730.00,105,75</v>
      </c>
    </row>
    <row r="7" spans="1:23" s="3" customFormat="1" ht="12.95" customHeight="1">
      <c r="A7" s="69">
        <f t="shared" ref="A7:A12" si="2">IF(L7="",IF(L6="","",$A$6),A6+1)</f>
        <v>2</v>
      </c>
      <c r="B7" s="70" t="e">
        <f t="shared" si="0"/>
        <v>#VALUE!</v>
      </c>
      <c r="C7" s="71" t="e">
        <f t="shared" si="1"/>
        <v>#VALUE!</v>
      </c>
      <c r="D7" s="67" t="e">
        <f>IF(OR(F7=0,F8=0,G7=0,G8=0),"",IF(AND((G7-G8)&lt;0,(F7-F8)&lt;0),ATAN((G7-G8)/(F7-F8))*180/PI(),IF((F7-F8)&gt;0,180+ATAN((G7-G8)/(F7-F8))*180/PI(),360+ATAN((G7-G8)/(F7-F8))*180/PI())))</f>
        <v>#VALUE!</v>
      </c>
      <c r="E7" s="72" t="e">
        <f>IF(OR(F7=0,F8=0,G7=0,G8=0),"",SQRT(POWER(F7-F8,2)+POWER(G7-G8,2)))</f>
        <v>#VALUE!</v>
      </c>
      <c r="F7" s="95" t="str">
        <f>MID(L7,38,9)</f>
        <v>471496.36</v>
      </c>
      <c r="G7" s="108" t="str">
        <f>MID(L7,22,10)</f>
        <v>2507736.28</v>
      </c>
      <c r="H7" s="109"/>
      <c r="L7" s="3" t="s">
        <v>170</v>
      </c>
      <c r="S7" s="3" t="s">
        <v>167</v>
      </c>
      <c r="T7" s="3">
        <v>104.717</v>
      </c>
      <c r="W7" s="3" t="str">
        <f t="shared" ref="W7:W9" si="3">CONCATENATE(A7,S7,F7,S7,G7,S7,T7)</f>
        <v>2,471496.36,2507736.28,104,717</v>
      </c>
    </row>
    <row r="8" spans="1:23" s="3" customFormat="1" ht="12" customHeight="1">
      <c r="A8" s="69">
        <f t="shared" si="2"/>
        <v>3</v>
      </c>
      <c r="B8" s="70" t="e">
        <f t="shared" si="0"/>
        <v>#VALUE!</v>
      </c>
      <c r="C8" s="71" t="e">
        <f t="shared" si="1"/>
        <v>#VALUE!</v>
      </c>
      <c r="D8" s="67" t="e">
        <f t="shared" ref="D8:D13" si="4">IF(OR(F8="",F9="",G8="",G9=""),"",IF(AND((G8-G9)&lt;0,(F8-F9)&lt;0),ATAN((G8-G9)/(F8-F9))*180/PI(),IF((F8-F9)&gt;0,180+ATAN((G8-G9)/(F8-F9))*180/PI(),360+ATAN((G8-G9)/(F8-F9))*180/PI())))</f>
        <v>#VALUE!</v>
      </c>
      <c r="E8" s="72" t="e">
        <f t="shared" ref="E8:E13" si="5">IF(OR(F8="",F9="",G8="",G9=""),"",SQRT(POWER(F8-F9,2)+POWER(G8-G9,2)))</f>
        <v>#VALUE!</v>
      </c>
      <c r="F8" s="95" t="str">
        <f t="shared" ref="F8:F16" si="6">IF(A8="","",IF(A8=$A$6,$F$6,MID(L8,38,9)))</f>
        <v>471496.77</v>
      </c>
      <c r="G8" s="108" t="str">
        <f>IF(A8="","",IF(A8=$A$6,$G$6,MID(L8,22,10)))</f>
        <v>2507737.72</v>
      </c>
      <c r="H8" s="109"/>
      <c r="L8" s="3" t="s">
        <v>171</v>
      </c>
      <c r="S8" s="3" t="s">
        <v>167</v>
      </c>
      <c r="T8" s="3">
        <v>96.88</v>
      </c>
      <c r="W8" s="3" t="str">
        <f t="shared" si="3"/>
        <v>3,471496.77,2507737.72,96,88</v>
      </c>
    </row>
    <row r="9" spans="1:23" s="3" customFormat="1" ht="12" customHeight="1">
      <c r="A9" s="69">
        <f t="shared" si="2"/>
        <v>4</v>
      </c>
      <c r="B9" s="70" t="e">
        <f t="shared" si="0"/>
        <v>#VALUE!</v>
      </c>
      <c r="C9" s="71" t="e">
        <f t="shared" si="1"/>
        <v>#VALUE!</v>
      </c>
      <c r="D9" s="67" t="e">
        <f t="shared" si="4"/>
        <v>#VALUE!</v>
      </c>
      <c r="E9" s="72" t="e">
        <f t="shared" si="5"/>
        <v>#VALUE!</v>
      </c>
      <c r="F9" s="95" t="str">
        <f t="shared" si="6"/>
        <v>471492.34</v>
      </c>
      <c r="G9" s="108" t="str">
        <f t="shared" ref="G9:G28" si="7">IF(A9="","",IF(A9=$A$6,$G$6,MID(L9,22,10)))</f>
        <v>2507738.97</v>
      </c>
      <c r="H9" s="109"/>
      <c r="L9" s="3" t="s">
        <v>172</v>
      </c>
      <c r="W9" s="3" t="str">
        <f t="shared" si="3"/>
        <v>4471492.342507738.97</v>
      </c>
    </row>
    <row r="10" spans="1:23" s="3" customFormat="1" ht="12" customHeight="1">
      <c r="A10" s="69">
        <f t="shared" si="2"/>
        <v>5</v>
      </c>
      <c r="B10" s="70" t="e">
        <f t="shared" si="0"/>
        <v>#VALUE!</v>
      </c>
      <c r="C10" s="71" t="e">
        <f t="shared" si="1"/>
        <v>#VALUE!</v>
      </c>
      <c r="D10" s="67" t="e">
        <f t="shared" si="4"/>
        <v>#VALUE!</v>
      </c>
      <c r="E10" s="72" t="e">
        <f t="shared" si="5"/>
        <v>#VALUE!</v>
      </c>
      <c r="F10" s="95" t="str">
        <f t="shared" si="6"/>
        <v>471491.93</v>
      </c>
      <c r="G10" s="108" t="str">
        <f t="shared" ref="G10:G18" si="8">IF(A10="","",IF(A10=$A$6,$G$6,MID(L10,22,10)))</f>
        <v>2507737.52</v>
      </c>
      <c r="H10" s="109"/>
      <c r="L10" s="3" t="s">
        <v>173</v>
      </c>
    </row>
    <row r="11" spans="1:23" s="3" customFormat="1" ht="12" customHeight="1">
      <c r="A11" s="69">
        <f t="shared" si="2"/>
        <v>6</v>
      </c>
      <c r="B11" s="70" t="e">
        <f t="shared" si="0"/>
        <v>#VALUE!</v>
      </c>
      <c r="C11" s="71" t="e">
        <f t="shared" si="1"/>
        <v>#VALUE!</v>
      </c>
      <c r="D11" s="67" t="e">
        <f t="shared" si="4"/>
        <v>#VALUE!</v>
      </c>
      <c r="E11" s="72" t="e">
        <f t="shared" si="5"/>
        <v>#VALUE!</v>
      </c>
      <c r="F11" s="95" t="str">
        <f t="shared" si="6"/>
        <v>471490.17</v>
      </c>
      <c r="G11" s="108" t="str">
        <f t="shared" si="8"/>
        <v>2507731.26</v>
      </c>
      <c r="H11" s="109"/>
      <c r="L11" s="3" t="s">
        <v>174</v>
      </c>
    </row>
    <row r="12" spans="1:23" s="3" customFormat="1" ht="12" customHeight="1">
      <c r="A12" s="69">
        <f t="shared" si="2"/>
        <v>1</v>
      </c>
      <c r="B12" s="70" t="str">
        <f t="shared" si="0"/>
        <v/>
      </c>
      <c r="C12" s="71" t="str">
        <f t="shared" si="1"/>
        <v/>
      </c>
      <c r="D12" s="67" t="str">
        <f t="shared" si="4"/>
        <v/>
      </c>
      <c r="E12" s="72" t="str">
        <f t="shared" si="5"/>
        <v/>
      </c>
      <c r="F12" s="95" t="str">
        <f t="shared" si="6"/>
        <v>471494.61</v>
      </c>
      <c r="G12" s="108" t="str">
        <f t="shared" si="8"/>
        <v>2507730.00</v>
      </c>
      <c r="H12" s="109"/>
    </row>
    <row r="13" spans="1:23" s="3" customFormat="1" ht="12" customHeight="1">
      <c r="A13" s="69" t="str">
        <f>IF(L13="",IF(L12="","",$A$6),A12+1)</f>
        <v/>
      </c>
      <c r="B13" s="70" t="str">
        <f t="shared" si="0"/>
        <v/>
      </c>
      <c r="C13" s="71" t="str">
        <f t="shared" si="1"/>
        <v/>
      </c>
      <c r="D13" s="67" t="str">
        <f t="shared" si="4"/>
        <v/>
      </c>
      <c r="E13" s="72" t="str">
        <f t="shared" si="5"/>
        <v/>
      </c>
      <c r="F13" s="95" t="str">
        <f t="shared" si="6"/>
        <v/>
      </c>
      <c r="G13" s="108" t="str">
        <f t="shared" si="8"/>
        <v/>
      </c>
      <c r="H13" s="109"/>
    </row>
    <row r="14" spans="1:23" s="3" customFormat="1" ht="12" customHeight="1">
      <c r="A14" s="69" t="str">
        <f>IF(L14="",IF(L13="","",$A$6),A13+1)</f>
        <v/>
      </c>
      <c r="B14" s="70" t="str">
        <f t="shared" ref="B14:B28" si="9">IF(D14="","",TRUNC(D14))</f>
        <v/>
      </c>
      <c r="C14" s="71" t="str">
        <f t="shared" ref="C14:C28" si="10">IF(D14="","",(D14-B14)*60)</f>
        <v/>
      </c>
      <c r="D14" s="67" t="str">
        <f t="shared" ref="D14:D27" si="11">IF(OR(F14="",F15="",G14="",G15=""),"",IF(AND((G14-G15)&lt;0,(F14-F15)&lt;0),ATAN((G14-G15)/(F14-F15))*180/PI(),IF((F14-F15)&gt;0,180+ATAN((G14-G15)/(F14-F15))*180/PI(),360+ATAN((G14-G15)/(F14-F15))*180/PI())))</f>
        <v/>
      </c>
      <c r="E14" s="72" t="str">
        <f t="shared" ref="E14:E27" si="12">IF(OR(F14="",F15="",G14="",G15=""),"",SQRT(POWER(F14-F15,2)+POWER(G14-G15,2)))</f>
        <v/>
      </c>
      <c r="F14" s="95" t="str">
        <f t="shared" si="6"/>
        <v/>
      </c>
      <c r="G14" s="108" t="str">
        <f t="shared" si="8"/>
        <v/>
      </c>
      <c r="H14" s="109"/>
    </row>
    <row r="15" spans="1:23" ht="12" customHeight="1">
      <c r="A15" s="69" t="str">
        <f t="shared" ref="A15:A28" si="13">IF(L15="",IF(L14="","",$A$6),A14+1)</f>
        <v/>
      </c>
      <c r="B15" s="70" t="str">
        <f t="shared" si="9"/>
        <v/>
      </c>
      <c r="C15" s="71" t="str">
        <f t="shared" si="10"/>
        <v/>
      </c>
      <c r="D15" s="67" t="str">
        <f t="shared" si="11"/>
        <v/>
      </c>
      <c r="E15" s="72" t="str">
        <f t="shared" si="12"/>
        <v/>
      </c>
      <c r="F15" s="95" t="str">
        <f t="shared" si="6"/>
        <v/>
      </c>
      <c r="G15" s="108" t="str">
        <f t="shared" si="8"/>
        <v/>
      </c>
      <c r="H15" s="109"/>
    </row>
    <row r="16" spans="1:23" ht="12" customHeight="1">
      <c r="A16" s="69" t="str">
        <f t="shared" si="13"/>
        <v/>
      </c>
      <c r="B16" s="70" t="str">
        <f t="shared" si="9"/>
        <v/>
      </c>
      <c r="C16" s="71" t="str">
        <f t="shared" si="10"/>
        <v/>
      </c>
      <c r="D16" s="67" t="str">
        <f>IF(OR(F16="",F17="",G16="",G17=""),"",IF(AND((G16-G17)&lt;0,(F16-F17)&lt;0),ATAN((G16-G17)/(F16-F17))*180/PI(),IF((F16-F17)&gt;0,180+ATAN((G16-G17)/(F16-F17))*180/PI(),360+ATAN((G16-G17)/(F16-F17))*180/PI())))</f>
        <v/>
      </c>
      <c r="E16" s="72" t="str">
        <f>IF(OR(F16="",F17="",G16="",G17=""),"",SQRT(POWER(F16-F17,2)+POWER(G16-G17,2)))</f>
        <v/>
      </c>
      <c r="F16" s="95" t="str">
        <f t="shared" si="6"/>
        <v/>
      </c>
      <c r="G16" s="108" t="str">
        <f t="shared" si="8"/>
        <v/>
      </c>
      <c r="H16" s="109"/>
    </row>
    <row r="17" spans="1:8" ht="12" customHeight="1">
      <c r="A17" s="69" t="str">
        <f>IF(L17="",IF(L16="","",$A$6),A16+1)</f>
        <v/>
      </c>
      <c r="B17" s="70" t="str">
        <f t="shared" si="9"/>
        <v/>
      </c>
      <c r="C17" s="71" t="str">
        <f t="shared" si="10"/>
        <v/>
      </c>
      <c r="D17" s="67" t="str">
        <f t="shared" si="11"/>
        <v/>
      </c>
      <c r="E17" s="72" t="str">
        <f t="shared" si="12"/>
        <v/>
      </c>
      <c r="F17" s="95" t="str">
        <f t="shared" ref="F17:F27" si="14">IF(A17="","",IF(A17=$A$6,$F$6,MID(L17,37,9)))</f>
        <v/>
      </c>
      <c r="G17" s="108" t="str">
        <f t="shared" si="8"/>
        <v/>
      </c>
      <c r="H17" s="109"/>
    </row>
    <row r="18" spans="1:8" ht="12" customHeight="1">
      <c r="A18" s="69" t="str">
        <f>IF(L18="",IF(L17="","",$A$6),A17+1)</f>
        <v/>
      </c>
      <c r="B18" s="70" t="str">
        <f t="shared" si="9"/>
        <v/>
      </c>
      <c r="C18" s="71" t="str">
        <f t="shared" si="10"/>
        <v/>
      </c>
      <c r="D18" s="67" t="str">
        <f t="shared" si="11"/>
        <v/>
      </c>
      <c r="E18" s="72" t="str">
        <f t="shared" si="12"/>
        <v/>
      </c>
      <c r="F18" s="95" t="str">
        <f t="shared" si="14"/>
        <v/>
      </c>
      <c r="G18" s="108" t="str">
        <f t="shared" si="8"/>
        <v/>
      </c>
      <c r="H18" s="109"/>
    </row>
    <row r="19" spans="1:8" ht="12" customHeight="1">
      <c r="A19" s="69" t="str">
        <f>IF(L19="",IF(L18="","",$A$6),A18+1)</f>
        <v/>
      </c>
      <c r="B19" s="70" t="str">
        <f t="shared" si="9"/>
        <v/>
      </c>
      <c r="C19" s="71" t="str">
        <f t="shared" si="10"/>
        <v/>
      </c>
      <c r="D19" s="67" t="str">
        <f t="shared" si="11"/>
        <v/>
      </c>
      <c r="E19" s="72" t="str">
        <f t="shared" si="12"/>
        <v/>
      </c>
      <c r="F19" s="95" t="str">
        <f t="shared" si="14"/>
        <v/>
      </c>
      <c r="G19" s="108" t="str">
        <f t="shared" si="7"/>
        <v/>
      </c>
      <c r="H19" s="109"/>
    </row>
    <row r="20" spans="1:8" ht="12" customHeight="1">
      <c r="A20" s="69" t="str">
        <f t="shared" si="13"/>
        <v/>
      </c>
      <c r="B20" s="70" t="str">
        <f t="shared" si="9"/>
        <v/>
      </c>
      <c r="C20" s="71" t="str">
        <f t="shared" si="10"/>
        <v/>
      </c>
      <c r="D20" s="67" t="str">
        <f t="shared" si="11"/>
        <v/>
      </c>
      <c r="E20" s="72" t="str">
        <f t="shared" si="12"/>
        <v/>
      </c>
      <c r="F20" s="95" t="str">
        <f t="shared" si="14"/>
        <v/>
      </c>
      <c r="G20" s="108" t="str">
        <f t="shared" si="7"/>
        <v/>
      </c>
      <c r="H20" s="109"/>
    </row>
    <row r="21" spans="1:8" ht="12" customHeight="1">
      <c r="A21" s="69" t="str">
        <f t="shared" si="13"/>
        <v/>
      </c>
      <c r="B21" s="70" t="str">
        <f t="shared" si="9"/>
        <v/>
      </c>
      <c r="C21" s="71" t="str">
        <f t="shared" si="10"/>
        <v/>
      </c>
      <c r="D21" s="67" t="str">
        <f t="shared" si="11"/>
        <v/>
      </c>
      <c r="E21" s="72" t="str">
        <f t="shared" si="12"/>
        <v/>
      </c>
      <c r="F21" s="95" t="str">
        <f t="shared" si="14"/>
        <v/>
      </c>
      <c r="G21" s="108" t="str">
        <f t="shared" si="7"/>
        <v/>
      </c>
      <c r="H21" s="109"/>
    </row>
    <row r="22" spans="1:8" ht="12" customHeight="1">
      <c r="A22" s="69" t="str">
        <f t="shared" si="13"/>
        <v/>
      </c>
      <c r="B22" s="70" t="str">
        <f t="shared" si="9"/>
        <v/>
      </c>
      <c r="C22" s="71" t="str">
        <f t="shared" si="10"/>
        <v/>
      </c>
      <c r="D22" s="67" t="str">
        <f t="shared" si="11"/>
        <v/>
      </c>
      <c r="E22" s="72" t="str">
        <f t="shared" si="12"/>
        <v/>
      </c>
      <c r="F22" s="95" t="str">
        <f t="shared" si="14"/>
        <v/>
      </c>
      <c r="G22" s="108" t="str">
        <f t="shared" si="7"/>
        <v/>
      </c>
      <c r="H22" s="109"/>
    </row>
    <row r="23" spans="1:8" ht="12" customHeight="1">
      <c r="A23" s="69" t="str">
        <f t="shared" si="13"/>
        <v/>
      </c>
      <c r="B23" s="70" t="str">
        <f t="shared" si="9"/>
        <v/>
      </c>
      <c r="C23" s="71" t="str">
        <f t="shared" si="10"/>
        <v/>
      </c>
      <c r="D23" s="67" t="str">
        <f t="shared" si="11"/>
        <v/>
      </c>
      <c r="E23" s="72" t="str">
        <f t="shared" si="12"/>
        <v/>
      </c>
      <c r="F23" s="95" t="str">
        <f t="shared" si="14"/>
        <v/>
      </c>
      <c r="G23" s="108" t="str">
        <f t="shared" si="7"/>
        <v/>
      </c>
      <c r="H23" s="109"/>
    </row>
    <row r="24" spans="1:8" ht="12" customHeight="1">
      <c r="A24" s="69" t="str">
        <f t="shared" si="13"/>
        <v/>
      </c>
      <c r="B24" s="70" t="str">
        <f t="shared" si="9"/>
        <v/>
      </c>
      <c r="C24" s="71" t="str">
        <f t="shared" si="10"/>
        <v/>
      </c>
      <c r="D24" s="67" t="str">
        <f t="shared" si="11"/>
        <v/>
      </c>
      <c r="E24" s="72" t="str">
        <f t="shared" si="12"/>
        <v/>
      </c>
      <c r="F24" s="95" t="str">
        <f t="shared" si="14"/>
        <v/>
      </c>
      <c r="G24" s="108" t="str">
        <f t="shared" si="7"/>
        <v/>
      </c>
      <c r="H24" s="109"/>
    </row>
    <row r="25" spans="1:8" ht="12" customHeight="1">
      <c r="A25" s="69" t="str">
        <f t="shared" si="13"/>
        <v/>
      </c>
      <c r="B25" s="70" t="str">
        <f t="shared" si="9"/>
        <v/>
      </c>
      <c r="C25" s="71" t="str">
        <f t="shared" si="10"/>
        <v/>
      </c>
      <c r="D25" s="67" t="str">
        <f t="shared" si="11"/>
        <v/>
      </c>
      <c r="E25" s="72" t="str">
        <f t="shared" si="12"/>
        <v/>
      </c>
      <c r="F25" s="95" t="str">
        <f t="shared" si="14"/>
        <v/>
      </c>
      <c r="G25" s="108" t="str">
        <f t="shared" si="7"/>
        <v/>
      </c>
      <c r="H25" s="109"/>
    </row>
    <row r="26" spans="1:8" ht="12" customHeight="1">
      <c r="A26" s="69" t="str">
        <f t="shared" si="13"/>
        <v/>
      </c>
      <c r="B26" s="70" t="str">
        <f t="shared" si="9"/>
        <v/>
      </c>
      <c r="C26" s="71" t="str">
        <f t="shared" si="10"/>
        <v/>
      </c>
      <c r="D26" s="67" t="str">
        <f t="shared" si="11"/>
        <v/>
      </c>
      <c r="E26" s="72" t="str">
        <f t="shared" si="12"/>
        <v/>
      </c>
      <c r="F26" s="95" t="str">
        <f t="shared" si="14"/>
        <v/>
      </c>
      <c r="G26" s="108" t="str">
        <f t="shared" si="7"/>
        <v/>
      </c>
      <c r="H26" s="109"/>
    </row>
    <row r="27" spans="1:8" ht="12" customHeight="1">
      <c r="A27" s="69" t="str">
        <f t="shared" si="13"/>
        <v/>
      </c>
      <c r="B27" s="70" t="str">
        <f t="shared" si="9"/>
        <v/>
      </c>
      <c r="C27" s="71" t="str">
        <f t="shared" si="10"/>
        <v/>
      </c>
      <c r="D27" s="67" t="str">
        <f t="shared" si="11"/>
        <v/>
      </c>
      <c r="E27" s="72" t="str">
        <f t="shared" si="12"/>
        <v/>
      </c>
      <c r="F27" s="95" t="str">
        <f t="shared" si="14"/>
        <v/>
      </c>
      <c r="G27" s="108" t="str">
        <f t="shared" si="7"/>
        <v/>
      </c>
      <c r="H27" s="109"/>
    </row>
    <row r="28" spans="1:8" ht="12" customHeight="1">
      <c r="A28" s="69" t="str">
        <f t="shared" si="13"/>
        <v/>
      </c>
      <c r="B28" s="70" t="str">
        <f t="shared" si="9"/>
        <v/>
      </c>
      <c r="C28" s="71" t="str">
        <f t="shared" si="10"/>
        <v/>
      </c>
      <c r="D28" s="67" t="str">
        <f>IF(OR(F28=0,F29=0,G28=0,G29=0),"",IF(AND((G28-G29)&lt;0,(F28-F29)&lt;0),ATAN((G28-G29)/(F28-F29))*180/PI(),IF((F28-F29)&gt;0,180+ATAN((G28-G29)/(F28-F29))*180/PI(),360+ATAN((G28-G29)/(F28-F29))*180/PI())))</f>
        <v/>
      </c>
      <c r="E28" s="72" t="str">
        <f>IF(OR(F28=0,F29=0,G28=0,G29=0),"",SQRT(POWER(F28-F29,2)+POWER(G28-G29,2)))</f>
        <v/>
      </c>
      <c r="F28" s="95" t="str">
        <f>IF(A28="","",IF(A28=$A$6,$F$6,MID(L28,38,9)))</f>
        <v/>
      </c>
      <c r="G28" s="95" t="str">
        <f t="shared" si="7"/>
        <v/>
      </c>
    </row>
    <row r="29" spans="1:8" ht="12.95" customHeight="1">
      <c r="A29" s="56"/>
      <c r="B29" s="57"/>
      <c r="C29" s="58"/>
      <c r="D29" s="59"/>
      <c r="E29" s="60"/>
      <c r="F29" s="61"/>
      <c r="G29" s="61"/>
    </row>
    <row r="30" spans="1:8" ht="12.95" customHeight="1"/>
    <row r="31" spans="1:8" ht="24.75" customHeight="1">
      <c r="A31" s="102" t="s">
        <v>146</v>
      </c>
      <c r="B31" s="103"/>
      <c r="C31" s="103"/>
      <c r="D31" s="103"/>
      <c r="E31" s="103"/>
      <c r="F31" s="116" t="s">
        <v>149</v>
      </c>
      <c r="G31" s="117"/>
      <c r="H31" s="118"/>
    </row>
    <row r="32" spans="1:8" ht="12.95" customHeight="1">
      <c r="A32" s="119" t="s">
        <v>145</v>
      </c>
      <c r="B32" s="120"/>
      <c r="C32" s="120"/>
      <c r="D32" s="120"/>
      <c r="E32" s="120"/>
      <c r="F32" s="120"/>
      <c r="G32">
        <v>84</v>
      </c>
      <c r="H32" s="100" t="s">
        <v>148</v>
      </c>
    </row>
    <row r="33" spans="1:19" ht="12.95" customHeight="1">
      <c r="A33" s="121" t="s">
        <v>147</v>
      </c>
      <c r="B33" s="123" t="s">
        <v>65</v>
      </c>
      <c r="C33" s="123"/>
      <c r="D33" s="66" t="s">
        <v>66</v>
      </c>
      <c r="E33" s="67" t="s">
        <v>67</v>
      </c>
      <c r="F33" s="110" t="s">
        <v>64</v>
      </c>
      <c r="G33" s="111"/>
      <c r="H33" s="112"/>
    </row>
    <row r="34" spans="1:19" ht="12.95" customHeight="1" thickBot="1">
      <c r="A34" s="122"/>
      <c r="B34" s="68">
        <v>0</v>
      </c>
      <c r="C34" s="68" t="s">
        <v>68</v>
      </c>
      <c r="D34" s="68">
        <v>0</v>
      </c>
      <c r="E34" s="68" t="s">
        <v>69</v>
      </c>
      <c r="F34" s="68" t="s">
        <v>70</v>
      </c>
      <c r="G34" s="113" t="s">
        <v>71</v>
      </c>
      <c r="H34" s="114"/>
    </row>
    <row r="35" spans="1:19" ht="12.95" customHeight="1" thickBot="1">
      <c r="A35" s="69">
        <v>1</v>
      </c>
      <c r="B35" s="70" t="e">
        <f t="shared" ref="B35:B40" si="15">IF(D35="","",TRUNC(D35))</f>
        <v>#VALUE!</v>
      </c>
      <c r="C35" s="71" t="e">
        <f t="shared" ref="C35:C40" si="16">IF(D35="","",(D35-B35)*60)</f>
        <v>#VALUE!</v>
      </c>
      <c r="D35" s="70" t="e">
        <f>IF(OR(F35=0,F36=0,G35=0,G36=0),"",IF(AND((G35-G36)&lt;0,(F35-F36)&lt;0),ATAN((G35-G36)/(F35-F36))*180/PI(),IF((F35-F36)&gt;0,180+ATAN((G35-G36)/(F35-F36))*180/PI(),360+ATAN((G35-G36)/(F35-F36))*180/PI())))</f>
        <v>#VALUE!</v>
      </c>
      <c r="E35" s="72" t="e">
        <f>IF(OR(F35=0,F36=0,G35=0,G36=0),"",SQRT(POWER(F35-F36,2)+POWER(G35-G36,2)))</f>
        <v>#VALUE!</v>
      </c>
      <c r="F35" s="94" t="str">
        <f>MID(L35,38,9)</f>
        <v>471663.69</v>
      </c>
      <c r="G35" s="108" t="str">
        <f>MID(L35,22,10)</f>
        <v>2506544.60</v>
      </c>
      <c r="H35" s="109"/>
      <c r="I35" s="3"/>
      <c r="J35" s="3"/>
      <c r="K35" s="3"/>
      <c r="L35" s="93" t="s">
        <v>155</v>
      </c>
      <c r="M35" s="3"/>
      <c r="N35" s="3"/>
      <c r="O35" s="3"/>
      <c r="P35" s="3"/>
      <c r="Q35" s="3"/>
      <c r="R35" s="3"/>
      <c r="S35" s="3"/>
    </row>
    <row r="36" spans="1:19" ht="12.95" customHeight="1">
      <c r="A36" s="69">
        <v>2</v>
      </c>
      <c r="B36" s="70" t="e">
        <f t="shared" si="15"/>
        <v>#VALUE!</v>
      </c>
      <c r="C36" s="71" t="e">
        <f t="shared" si="16"/>
        <v>#VALUE!</v>
      </c>
      <c r="D36" s="67" t="e">
        <f>IF(OR(F36=0,F37=0,G36=0,G37=0),"",IF(AND((G36-G37)&lt;0,(F36-F37)&lt;0),ATAN((G36-G37)/(F36-F37))*180/PI(),IF((F36-F37)&gt;0,180+ATAN((G36-G37)/(F36-F37))*180/PI(),360+ATAN((G36-G37)/(F36-F37))*180/PI())))</f>
        <v>#VALUE!</v>
      </c>
      <c r="E36" s="72" t="e">
        <f>IF(OR(F36=0,F37=0,G36=0,G37=0),"",SQRT(POWER(F36-F37,2)+POWER(G36-G37,2)))</f>
        <v>#VALUE!</v>
      </c>
      <c r="F36" s="95" t="str">
        <f>MID(L36,38,9)</f>
        <v>471655.04</v>
      </c>
      <c r="G36" s="108" t="str">
        <f>MID(L36,22,10)</f>
        <v>2506556.60</v>
      </c>
      <c r="H36" s="109"/>
      <c r="I36" s="3"/>
      <c r="J36" s="3"/>
      <c r="K36" s="3"/>
      <c r="L36" s="3" t="s">
        <v>156</v>
      </c>
      <c r="M36" s="3"/>
      <c r="N36" s="3"/>
      <c r="O36" s="3"/>
      <c r="P36" s="3"/>
      <c r="Q36" s="3"/>
      <c r="R36" s="3"/>
      <c r="S36" s="3"/>
    </row>
    <row r="37" spans="1:19" ht="15">
      <c r="A37" s="69">
        <v>3</v>
      </c>
      <c r="B37" s="70" t="e">
        <f t="shared" si="15"/>
        <v>#VALUE!</v>
      </c>
      <c r="C37" s="71" t="e">
        <f t="shared" si="16"/>
        <v>#VALUE!</v>
      </c>
      <c r="D37" s="67" t="e">
        <f>IF(OR(F37="",F38="",G37="",G38=""),"",IF(AND((G37-G38)&lt;0,(F37-F38)&lt;0),ATAN((G37-G38)/(F37-F38))*180/PI(),IF((F37-F38)&gt;0,180+ATAN((G37-G38)/(F37-F38))*180/PI(),360+ATAN((G37-G38)/(F37-F38))*180/PI())))</f>
        <v>#VALUE!</v>
      </c>
      <c r="E37" s="72" t="e">
        <f>IF(OR(F37="",F38="",G37="",G38=""),"",SQRT(POWER(F37-F38,2)+POWER(G37-G38,2)))</f>
        <v>#VALUE!</v>
      </c>
      <c r="F37" s="95" t="str">
        <f>IF(A37="","",IF(A37=$A$35,$F$35,MID(L37,38,9)))</f>
        <v>471650.15</v>
      </c>
      <c r="G37" s="108" t="str">
        <f>IF(A37="","",IF(A37=$A$35,$G$35,MID(L37,22,10)))</f>
        <v>2506553.20</v>
      </c>
      <c r="H37" s="109"/>
      <c r="I37" s="3"/>
      <c r="J37" s="3"/>
      <c r="K37" s="3"/>
      <c r="L37" s="3" t="s">
        <v>153</v>
      </c>
      <c r="M37" s="3"/>
      <c r="N37" s="3"/>
      <c r="O37" s="3"/>
      <c r="P37" s="3"/>
      <c r="Q37" s="3"/>
      <c r="R37" s="3"/>
      <c r="S37" s="3"/>
    </row>
    <row r="38" spans="1:19" ht="15">
      <c r="A38" s="98">
        <v>4</v>
      </c>
      <c r="B38" s="70" t="e">
        <f t="shared" si="15"/>
        <v>#VALUE!</v>
      </c>
      <c r="C38" s="71" t="e">
        <f t="shared" si="16"/>
        <v>#VALUE!</v>
      </c>
      <c r="D38" s="67" t="e">
        <f>IF(OR(F38="",F39="",G38="",G39=""),"",IF(AND((G38-G39)&lt;0,(F38-F39)&lt;0),ATAN((G38-G39)/(F38-F39))*180/PI(),IF((F38-F39)&gt;0,180+ATAN((G38-G39)/(F38-F39))*180/PI(),360+ATAN((G38-G39)/(F38-F39))*180/PI())))</f>
        <v>#VALUE!</v>
      </c>
      <c r="E38" s="72" t="e">
        <f>IF(OR(F38="",F39="",G38="",G39=""),"",SQRT(POWER(F38-F39,2)+POWER(G38-G39,2)))</f>
        <v>#VALUE!</v>
      </c>
      <c r="F38" s="95" t="str">
        <f>IF(A38="","",IF(A38=$A$35,$F$35,MID(L38,38,9)))</f>
        <v>471653.06</v>
      </c>
      <c r="G38" s="108" t="str">
        <f>IF(A38="","",IF(A38=$A$35,$G$35,MID(L38,22,10)))</f>
        <v>2506553.73</v>
      </c>
      <c r="H38" s="109"/>
      <c r="I38" s="3"/>
      <c r="J38" s="3"/>
      <c r="K38" s="3"/>
      <c r="L38" s="3" t="s">
        <v>152</v>
      </c>
      <c r="M38" s="3"/>
      <c r="N38" s="3"/>
      <c r="O38" s="3"/>
      <c r="P38" s="3"/>
      <c r="Q38" s="3"/>
      <c r="R38" s="3"/>
      <c r="S38" s="3"/>
    </row>
    <row r="39" spans="1:19" ht="15">
      <c r="A39" s="69">
        <v>5</v>
      </c>
      <c r="B39" s="70" t="e">
        <f t="shared" si="15"/>
        <v>#VALUE!</v>
      </c>
      <c r="C39" s="71" t="e">
        <f t="shared" si="16"/>
        <v>#VALUE!</v>
      </c>
      <c r="D39" s="67" t="e">
        <f>IF(OR(F39="",F40="",G39="",G40=""),"",IF(AND((G39-G40)&lt;0,(F39-F40)&lt;0),ATAN((G39-G40)/(F39-F40))*180/PI(),IF((F39-F40)&gt;0,180+ATAN((G39-G40)/(F39-F40))*180/PI(),360+ATAN((G39-G40)/(F39-F40))*180/PI())))</f>
        <v>#VALUE!</v>
      </c>
      <c r="E39" s="72" t="e">
        <f>IF(OR(F39="",F40="",G39="",G40=""),"",SQRT(POWER(F39-F40,2)+POWER(G39-G40,2)))</f>
        <v>#VALUE!</v>
      </c>
      <c r="F39" s="95" t="str">
        <f>IF(A39="","",IF(A39=$A$35,$F$35,MID(L39,38,9)))</f>
        <v>471661.60</v>
      </c>
      <c r="G39" s="108" t="str">
        <f>IF(A39="","",IF(A39=$A$35,$G$35,MID(L39,22,10)))</f>
        <v>2506543.15</v>
      </c>
      <c r="H39" s="109"/>
      <c r="I39" s="3"/>
      <c r="J39" s="3"/>
      <c r="K39" s="3"/>
      <c r="L39" s="3" t="s">
        <v>151</v>
      </c>
      <c r="M39" s="3"/>
      <c r="N39" s="3"/>
      <c r="O39" s="3"/>
      <c r="P39" s="3"/>
      <c r="Q39" s="3"/>
      <c r="R39" s="3"/>
      <c r="S39" s="3"/>
    </row>
    <row r="40" spans="1:19" ht="15">
      <c r="A40" s="69">
        <v>1</v>
      </c>
      <c r="B40" s="70" t="str">
        <f t="shared" si="15"/>
        <v/>
      </c>
      <c r="C40" s="71" t="str">
        <f t="shared" si="16"/>
        <v/>
      </c>
      <c r="D40" s="67" t="str">
        <f>IF(OR(F40="",F41="",G40="",G41=""),"",IF(AND((G40-G41)&lt;0,(F40-F41)&lt;0),ATAN((G40-G41)/(F40-F41))*180/PI(),IF((F40-F41)&gt;0,180+ATAN((G40-G41)/(F40-F41))*180/PI(),360+ATAN((G40-G41)/(F40-F41))*180/PI())))</f>
        <v/>
      </c>
      <c r="E40" s="72" t="str">
        <f>IF(OR(F40="",F41="",G40="",G41=""),"",SQRT(POWER(F40-F41,2)+POWER(G40-G41,2)))</f>
        <v/>
      </c>
      <c r="F40" s="95" t="str">
        <f>IF(A40="","",IF(A40=$A$35,$F$35,MID(L40,38,9)))</f>
        <v>471663.69</v>
      </c>
      <c r="G40" s="108" t="str">
        <f>IF(A40="","",IF(A40=$A$35,$G$35,MID(L40,22,10)))</f>
        <v>2506544.60</v>
      </c>
      <c r="H40" s="10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7.5" customHeight="1" thickBot="1">
      <c r="A41" s="69"/>
      <c r="B41" s="70"/>
      <c r="C41" s="71"/>
      <c r="D41" s="67"/>
      <c r="E41" s="72"/>
      <c r="F41" s="95"/>
      <c r="G41" s="108"/>
      <c r="H41" s="10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.75" thickBot="1">
      <c r="A42" s="69">
        <v>6</v>
      </c>
      <c r="B42" s="70" t="e">
        <f t="shared" ref="B42:B47" si="17">IF(D42="","",TRUNC(D42))</f>
        <v>#VALUE!</v>
      </c>
      <c r="C42" s="71" t="e">
        <f t="shared" ref="C42:C47" si="18">IF(D42="","",(D42-B42)*60)</f>
        <v>#VALUE!</v>
      </c>
      <c r="D42" s="70" t="e">
        <f>IF(OR(F42=0,F43=0,G42=0,G43=0),"",IF(AND((G42-G43)&lt;0,(F42-F43)&lt;0),ATAN((G42-G43)/(F42-F43))*180/PI(),IF((F42-F43)&gt;0,180+ATAN((G42-G43)/(F42-F43))*180/PI(),360+ATAN((G42-G43)/(F42-F43))*180/PI())))</f>
        <v>#VALUE!</v>
      </c>
      <c r="E42" s="72" t="e">
        <f>IF(OR(F42=0,F43=0,G42=0,G43=0),"",SQRT(POWER(F42-F43,2)+POWER(G42-G43,2)))</f>
        <v>#VALUE!</v>
      </c>
      <c r="F42" s="94" t="str">
        <f>MID(L42,38,9)</f>
        <v>471639.68</v>
      </c>
      <c r="G42" s="108" t="str">
        <f>MID(L42,22,10)</f>
        <v>2506527.87</v>
      </c>
      <c r="H42" s="109"/>
      <c r="I42" s="3"/>
      <c r="J42" s="3"/>
      <c r="K42" s="3"/>
      <c r="L42" s="93" t="s">
        <v>150</v>
      </c>
      <c r="M42" s="3"/>
      <c r="N42" s="3"/>
      <c r="O42" s="3"/>
      <c r="P42" s="3"/>
      <c r="Q42" s="3"/>
      <c r="R42" s="3"/>
      <c r="S42" s="3"/>
    </row>
    <row r="43" spans="1:19" ht="15">
      <c r="A43" s="69">
        <v>7</v>
      </c>
      <c r="B43" s="70" t="e">
        <f t="shared" si="17"/>
        <v>#VALUE!</v>
      </c>
      <c r="C43" s="71" t="e">
        <f t="shared" si="18"/>
        <v>#VALUE!</v>
      </c>
      <c r="D43" s="67" t="e">
        <f>IF(OR(F43=0,F44=0,G43=0,G44=0),"",IF(AND((G43-G44)&lt;0,(F43-F44)&lt;0),ATAN((G43-G44)/(F43-F44))*180/PI(),IF((F43-F44)&gt;0,180+ATAN((G43-G44)/(F43-F44))*180/PI(),360+ATAN((G43-G44)/(F43-F44))*180/PI())))</f>
        <v>#VALUE!</v>
      </c>
      <c r="E43" s="72" t="e">
        <f>IF(OR(F43=0,F44=0,G43=0,G44=0),"",SQRT(POWER(F43-F44,2)+POWER(G43-G44,2)))</f>
        <v>#VALUE!</v>
      </c>
      <c r="F43" s="95" t="str">
        <f>MID(L43,38,9)</f>
        <v>471631.08</v>
      </c>
      <c r="G43" s="108" t="str">
        <f>MID(L43,22,10)</f>
        <v>2506539.91</v>
      </c>
      <c r="H43" s="109"/>
      <c r="I43" s="3"/>
      <c r="J43" s="3"/>
      <c r="K43" s="3"/>
      <c r="L43" s="3" t="s">
        <v>154</v>
      </c>
      <c r="M43" s="3"/>
      <c r="N43" s="3"/>
      <c r="O43" s="3"/>
      <c r="P43" s="3"/>
      <c r="Q43" s="3"/>
      <c r="R43" s="3"/>
      <c r="S43" s="3"/>
    </row>
    <row r="44" spans="1:19" ht="15">
      <c r="A44" s="69">
        <v>8</v>
      </c>
      <c r="B44" s="70" t="e">
        <f t="shared" si="17"/>
        <v>#VALUE!</v>
      </c>
      <c r="C44" s="71" t="e">
        <f t="shared" si="18"/>
        <v>#VALUE!</v>
      </c>
      <c r="D44" s="67" t="e">
        <f>IF(OR(F44="",F45="",G44="",G45=""),"",IF(AND((G44-G45)&lt;0,(F44-F45)&lt;0),ATAN((G44-G45)/(F44-F45))*180/PI(),IF((F44-F45)&gt;0,180+ATAN((G44-G45)/(F44-F45))*180/PI(),360+ATAN((G44-G45)/(F44-F45))*180/PI())))</f>
        <v>#VALUE!</v>
      </c>
      <c r="E44" s="72" t="e">
        <f>IF(OR(F44="",F45="",G44="",G45=""),"",SQRT(POWER(F44-F45,2)+POWER(G44-G45,2)))</f>
        <v>#VALUE!</v>
      </c>
      <c r="F44" s="95" t="str">
        <f>IF(A44="","",IF(A44=$A$42,$F$42,MID(L44,38,9)))</f>
        <v>471628.72</v>
      </c>
      <c r="G44" s="108" t="str">
        <f>IF(A44="","",IF(A44=$A$42,$G$42,MID(L44,22,10)))</f>
        <v>2506538.27</v>
      </c>
      <c r="H44" s="109"/>
      <c r="I44" s="3"/>
      <c r="J44" s="3"/>
      <c r="K44" s="3"/>
      <c r="L44" s="3" t="s">
        <v>157</v>
      </c>
    </row>
    <row r="45" spans="1:19" ht="15">
      <c r="A45" s="69">
        <v>9</v>
      </c>
      <c r="B45" s="70" t="e">
        <f t="shared" si="17"/>
        <v>#VALUE!</v>
      </c>
      <c r="C45" s="71" t="e">
        <f t="shared" si="18"/>
        <v>#VALUE!</v>
      </c>
      <c r="D45" s="67" t="e">
        <f>IF(OR(F45="",F46="",G45="",G46=""),"",IF(AND((G45-G46)&lt;0,(F45-F46)&lt;0),ATAN((G45-G46)/(F45-F46))*180/PI(),IF((F45-F46)&gt;0,180+ATAN((G45-G46)/(F45-F46))*180/PI(),360+ATAN((G45-G46)/(F45-F46))*180/PI())))</f>
        <v>#VALUE!</v>
      </c>
      <c r="E45" s="72" t="e">
        <f>IF(OR(F45="",F46="",G45="",G46=""),"",SQRT(POWER(F45-F46,2)+POWER(G45-G46,2)))</f>
        <v>#VALUE!</v>
      </c>
      <c r="F45" s="95" t="str">
        <f t="shared" ref="F45:F50" si="19">IF(A45="","",IF(A45=$A$42,$F$42,MID(L45,38,9)))</f>
        <v>471637.75</v>
      </c>
      <c r="G45" s="108" t="str">
        <f t="shared" ref="G45:G50" si="20">IF(A45="","",IF(A45=$A$42,$G$42,MID(L45,22,10)))</f>
        <v>2506526.52</v>
      </c>
      <c r="H45" s="109"/>
      <c r="I45" s="3"/>
      <c r="J45" s="3"/>
      <c r="K45" s="3"/>
      <c r="L45" s="3" t="s">
        <v>158</v>
      </c>
    </row>
    <row r="46" spans="1:19" ht="15">
      <c r="A46" s="69">
        <v>6</v>
      </c>
      <c r="B46" s="70" t="str">
        <f t="shared" si="17"/>
        <v/>
      </c>
      <c r="C46" s="71" t="str">
        <f t="shared" si="18"/>
        <v/>
      </c>
      <c r="D46" s="67" t="str">
        <f>IF(OR(F46="",F47="",G46="",G47=""),"",IF(AND((G46-G47)&lt;0,(F46-F47)&lt;0),ATAN((G46-G47)/(F46-F47))*180/PI(),IF((F46-F47)&gt;0,180+ATAN((G46-G47)/(F46-F47))*180/PI(),360+ATAN((G46-G47)/(F46-F47))*180/PI())))</f>
        <v/>
      </c>
      <c r="E46" s="72" t="str">
        <f>IF(OR(F46="",F47="",G46="",G47=""),"",SQRT(POWER(F46-F47,2)+POWER(G46-G47,2)))</f>
        <v/>
      </c>
      <c r="F46" s="95" t="str">
        <f t="shared" si="19"/>
        <v>471639.68</v>
      </c>
      <c r="G46" s="108" t="str">
        <f t="shared" si="20"/>
        <v>2506527.87</v>
      </c>
      <c r="H46" s="109"/>
      <c r="I46" s="3"/>
      <c r="J46" s="3"/>
      <c r="K46" s="3"/>
      <c r="L46" s="3"/>
    </row>
    <row r="47" spans="1:19" ht="15">
      <c r="A47" s="69"/>
      <c r="B47" s="70" t="str">
        <f t="shared" si="17"/>
        <v/>
      </c>
      <c r="C47" s="71" t="str">
        <f t="shared" si="18"/>
        <v/>
      </c>
      <c r="D47" s="67" t="str">
        <f>IF(OR(F47="",F48="",G47="",G48=""),"",IF(AND((G47-G48)&lt;0,(F47-F48)&lt;0),ATAN((G47-G48)/(F47-F48))*180/PI(),IF((F47-F48)&gt;0,180+ATAN((G47-G48)/(F47-F48))*180/PI(),360+ATAN((G47-G48)/(F47-F48))*180/PI())))</f>
        <v/>
      </c>
      <c r="E47" s="72" t="str">
        <f>IF(OR(F47="",F48="",G47="",G48=""),"",SQRT(POWER(F47-F48,2)+POWER(G47-G48,2)))</f>
        <v/>
      </c>
      <c r="F47" s="95" t="str">
        <f t="shared" si="19"/>
        <v/>
      </c>
      <c r="G47" s="108" t="str">
        <f t="shared" si="20"/>
        <v/>
      </c>
      <c r="H47" s="109"/>
      <c r="I47" s="3"/>
      <c r="J47" s="3"/>
      <c r="K47" s="3"/>
      <c r="L47" s="3"/>
    </row>
    <row r="48" spans="1:19">
      <c r="F48" s="95" t="str">
        <f t="shared" si="19"/>
        <v/>
      </c>
      <c r="G48" s="108" t="str">
        <f t="shared" si="20"/>
        <v/>
      </c>
      <c r="H48" s="109"/>
    </row>
    <row r="49" spans="6:8">
      <c r="F49" s="95" t="str">
        <f t="shared" si="19"/>
        <v/>
      </c>
      <c r="G49" s="108" t="str">
        <f t="shared" si="20"/>
        <v/>
      </c>
      <c r="H49" s="109"/>
    </row>
    <row r="50" spans="6:8">
      <c r="F50" s="95" t="str">
        <f t="shared" si="19"/>
        <v/>
      </c>
      <c r="G50" s="108" t="str">
        <f t="shared" si="20"/>
        <v/>
      </c>
      <c r="H50" s="109"/>
    </row>
  </sheetData>
  <mergeCells count="50">
    <mergeCell ref="A4:A5"/>
    <mergeCell ref="B4:C4"/>
    <mergeCell ref="A33:A34"/>
    <mergeCell ref="B33:C33"/>
    <mergeCell ref="F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1:H1"/>
    <mergeCell ref="F2:H2"/>
    <mergeCell ref="F31:H31"/>
    <mergeCell ref="A32:F32"/>
    <mergeCell ref="G43:H43"/>
    <mergeCell ref="G21:H21"/>
    <mergeCell ref="G37:H37"/>
    <mergeCell ref="G38:H38"/>
    <mergeCell ref="G39:H39"/>
    <mergeCell ref="G40:H40"/>
    <mergeCell ref="G22:H22"/>
    <mergeCell ref="G23:H23"/>
    <mergeCell ref="G24:H24"/>
    <mergeCell ref="G25:H25"/>
    <mergeCell ref="G26:H26"/>
    <mergeCell ref="G27:H27"/>
    <mergeCell ref="G41:H41"/>
    <mergeCell ref="G42:H42"/>
    <mergeCell ref="G49:H49"/>
    <mergeCell ref="G44:H44"/>
    <mergeCell ref="F33:H33"/>
    <mergeCell ref="G34:H34"/>
    <mergeCell ref="G35:H35"/>
    <mergeCell ref="G36:H36"/>
    <mergeCell ref="G50:H50"/>
    <mergeCell ref="G47:H47"/>
    <mergeCell ref="G48:H48"/>
    <mergeCell ref="G45:H45"/>
    <mergeCell ref="G46:H46"/>
  </mergeCells>
  <phoneticPr fontId="9" type="noConversion"/>
  <pageMargins left="0.75" right="0.75" top="1" bottom="1" header="0.5" footer="0.5"/>
  <pageSetup paperSize="9" orientation="portrait" horizontalDpi="4294967295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A13" zoomScaleNormal="100" workbookViewId="0">
      <selection activeCell="A11" sqref="A11:E11"/>
    </sheetView>
  </sheetViews>
  <sheetFormatPr defaultRowHeight="12.75"/>
  <cols>
    <col min="1" max="1" width="26.7109375" customWidth="1"/>
    <col min="2" max="2" width="28.7109375" customWidth="1"/>
    <col min="3" max="3" width="10" customWidth="1"/>
    <col min="4" max="4" width="12.85546875" customWidth="1"/>
    <col min="5" max="5" width="16.42578125" customWidth="1"/>
  </cols>
  <sheetData>
    <row r="1" spans="1:5" ht="23.25" customHeight="1" thickTop="1" thickBot="1">
      <c r="A1" s="187"/>
      <c r="B1" s="187"/>
      <c r="C1" s="188"/>
      <c r="D1" s="1" t="s">
        <v>10</v>
      </c>
      <c r="E1" s="84"/>
    </row>
    <row r="2" spans="1:5" ht="15.75" customHeight="1" thickTop="1">
      <c r="A2" s="173" t="s">
        <v>0</v>
      </c>
      <c r="B2" s="175" t="s">
        <v>1</v>
      </c>
      <c r="C2" s="176"/>
      <c r="D2" s="176"/>
      <c r="E2" s="177"/>
    </row>
    <row r="3" spans="1:5" ht="21" customHeight="1">
      <c r="A3" s="174"/>
      <c r="B3" s="178" t="s">
        <v>14</v>
      </c>
      <c r="C3" s="179"/>
      <c r="D3" s="179"/>
      <c r="E3" s="180"/>
    </row>
    <row r="4" spans="1:5" ht="77.25" customHeight="1" thickBot="1">
      <c r="A4" s="2" t="s">
        <v>2</v>
      </c>
      <c r="B4" s="181"/>
      <c r="C4" s="182"/>
      <c r="D4" s="182"/>
      <c r="E4" s="183"/>
    </row>
    <row r="5" spans="1:5" ht="24" customHeight="1" thickTop="1">
      <c r="A5" s="184" t="s">
        <v>3</v>
      </c>
      <c r="B5" s="185"/>
      <c r="C5" s="185"/>
      <c r="D5" s="185"/>
      <c r="E5" s="186"/>
    </row>
    <row r="6" spans="1:5" ht="18.75" customHeight="1">
      <c r="A6" s="161" t="s">
        <v>104</v>
      </c>
      <c r="B6" s="162"/>
      <c r="C6" s="162"/>
      <c r="D6" s="162"/>
      <c r="E6" s="163"/>
    </row>
    <row r="7" spans="1:5" ht="50.25" customHeight="1" thickBot="1">
      <c r="A7" s="73" t="s">
        <v>105</v>
      </c>
      <c r="B7" s="150" t="s">
        <v>129</v>
      </c>
      <c r="C7" s="151"/>
      <c r="D7" s="151"/>
      <c r="E7" s="152"/>
    </row>
    <row r="8" spans="1:5" ht="15" thickTop="1">
      <c r="A8" s="166" t="s">
        <v>4</v>
      </c>
      <c r="B8" s="167"/>
      <c r="C8" s="167"/>
      <c r="D8" s="167"/>
      <c r="E8" s="168"/>
    </row>
    <row r="9" spans="1:5" ht="16.5" thickBot="1">
      <c r="A9" s="169" t="s">
        <v>74</v>
      </c>
      <c r="B9" s="170"/>
      <c r="C9" s="170"/>
      <c r="D9" s="170"/>
      <c r="E9" s="171"/>
    </row>
    <row r="10" spans="1:5" ht="17.25" customHeight="1" thickTop="1">
      <c r="A10" s="147" t="s">
        <v>5</v>
      </c>
      <c r="B10" s="148"/>
      <c r="C10" s="148"/>
      <c r="D10" s="148"/>
      <c r="E10" s="149"/>
    </row>
    <row r="11" spans="1:5" ht="17.25" customHeight="1">
      <c r="A11" s="158" t="s">
        <v>118</v>
      </c>
      <c r="B11" s="159"/>
      <c r="C11" s="159"/>
      <c r="D11" s="159"/>
      <c r="E11" s="160"/>
    </row>
    <row r="12" spans="1:5" ht="21" customHeight="1">
      <c r="A12" s="164" t="s">
        <v>6</v>
      </c>
      <c r="B12" s="165"/>
      <c r="C12" s="165"/>
      <c r="D12" s="165"/>
      <c r="E12" s="137"/>
    </row>
    <row r="13" spans="1:5" ht="69" customHeight="1">
      <c r="A13" s="143" t="s">
        <v>120</v>
      </c>
      <c r="B13" s="172"/>
      <c r="C13" s="17" t="s">
        <v>11</v>
      </c>
      <c r="D13" s="145">
        <f ca="1">D21</f>
        <v>43803</v>
      </c>
      <c r="E13" s="146"/>
    </row>
    <row r="14" spans="1:5" ht="63.75" customHeight="1" thickBot="1">
      <c r="A14" s="126" t="s">
        <v>7</v>
      </c>
      <c r="B14" s="127"/>
      <c r="C14" s="127"/>
      <c r="D14" s="127"/>
      <c r="E14" s="128"/>
    </row>
    <row r="15" spans="1:5" ht="20.25" customHeight="1" thickTop="1">
      <c r="A15" s="147" t="s">
        <v>8</v>
      </c>
      <c r="B15" s="148"/>
      <c r="C15" s="148"/>
      <c r="D15" s="148"/>
      <c r="E15" s="149"/>
    </row>
    <row r="16" spans="1:5" ht="33.75" customHeight="1">
      <c r="A16" s="141" t="s">
        <v>12</v>
      </c>
      <c r="B16" s="142"/>
      <c r="C16" s="129" t="s">
        <v>109</v>
      </c>
      <c r="D16" s="130"/>
      <c r="E16" s="131"/>
    </row>
    <row r="17" spans="1:5" ht="18" customHeight="1">
      <c r="A17" s="153" t="s">
        <v>106</v>
      </c>
      <c r="B17" s="154"/>
      <c r="C17" s="155" t="s">
        <v>107</v>
      </c>
      <c r="D17" s="156"/>
      <c r="E17" s="157"/>
    </row>
    <row r="18" spans="1:5" ht="18" customHeight="1">
      <c r="A18" s="18" t="s">
        <v>13</v>
      </c>
      <c r="B18" s="132" t="s">
        <v>108</v>
      </c>
      <c r="C18" s="133"/>
      <c r="D18" s="133"/>
      <c r="E18" s="134"/>
    </row>
    <row r="19" spans="1:5" ht="15.75" customHeight="1">
      <c r="A19" s="135" t="s">
        <v>75</v>
      </c>
      <c r="B19" s="136"/>
      <c r="C19" s="136"/>
      <c r="D19" s="136"/>
      <c r="E19" s="137"/>
    </row>
    <row r="20" spans="1:5" ht="63.75" customHeight="1">
      <c r="A20" s="138" t="s">
        <v>98</v>
      </c>
      <c r="B20" s="139"/>
      <c r="C20" s="139"/>
      <c r="D20" s="139"/>
      <c r="E20" s="140"/>
    </row>
    <row r="21" spans="1:5" ht="63.75" customHeight="1">
      <c r="A21" s="143" t="s">
        <v>119</v>
      </c>
      <c r="B21" s="144"/>
      <c r="C21" s="17" t="s">
        <v>11</v>
      </c>
      <c r="D21" s="145">
        <f ca="1">TODAY()</f>
        <v>43803</v>
      </c>
      <c r="E21" s="146"/>
    </row>
    <row r="22" spans="1:5" ht="93" customHeight="1" thickBot="1">
      <c r="A22" s="126" t="s">
        <v>9</v>
      </c>
      <c r="B22" s="127"/>
      <c r="C22" s="127"/>
      <c r="D22" s="127"/>
      <c r="E22" s="128"/>
    </row>
    <row r="23" spans="1:5" ht="13.5" thickTop="1"/>
  </sheetData>
  <mergeCells count="26">
    <mergeCell ref="A2:A3"/>
    <mergeCell ref="B2:E2"/>
    <mergeCell ref="B3:E4"/>
    <mergeCell ref="A5:E5"/>
    <mergeCell ref="A1:C1"/>
    <mergeCell ref="A6:E6"/>
    <mergeCell ref="A12:E12"/>
    <mergeCell ref="A8:E8"/>
    <mergeCell ref="A9:E9"/>
    <mergeCell ref="A13:B13"/>
    <mergeCell ref="A15:E15"/>
    <mergeCell ref="B7:E7"/>
    <mergeCell ref="A17:B17"/>
    <mergeCell ref="C17:E17"/>
    <mergeCell ref="A14:E14"/>
    <mergeCell ref="D13:E13"/>
    <mergeCell ref="A10:E10"/>
    <mergeCell ref="A11:E11"/>
    <mergeCell ref="A22:E22"/>
    <mergeCell ref="C16:E16"/>
    <mergeCell ref="B18:E18"/>
    <mergeCell ref="A19:E19"/>
    <mergeCell ref="A20:E20"/>
    <mergeCell ref="A16:B16"/>
    <mergeCell ref="A21:B21"/>
    <mergeCell ref="D21:E21"/>
  </mergeCells>
  <phoneticPr fontId="9" type="noConversion"/>
  <pageMargins left="0.75" right="0.18" top="0.18" bottom="0.55000000000000004" header="0.14000000000000001" footer="0.5"/>
  <pageSetup paperSize="9" orientation="portrait" horizontalDpi="4294967295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16" sqref="G16"/>
    </sheetView>
  </sheetViews>
  <sheetFormatPr defaultRowHeight="12.75"/>
  <cols>
    <col min="1" max="1" width="5.7109375" customWidth="1"/>
    <col min="2" max="2" width="39.7109375" customWidth="1"/>
    <col min="3" max="3" width="3.7109375" customWidth="1"/>
    <col min="4" max="4" width="14.28515625" customWidth="1"/>
    <col min="5" max="5" width="12.42578125" customWidth="1"/>
    <col min="6" max="7" width="9.42578125" customWidth="1"/>
  </cols>
  <sheetData>
    <row r="1" spans="1:7" ht="17.25" customHeight="1" thickTop="1" thickBot="1">
      <c r="A1" s="187"/>
      <c r="B1" s="187"/>
      <c r="C1" s="187"/>
      <c r="D1" s="187"/>
      <c r="E1" s="188"/>
      <c r="F1" s="1" t="s">
        <v>36</v>
      </c>
      <c r="G1" s="8">
        <v>2</v>
      </c>
    </row>
    <row r="2" spans="1:7" ht="19.5" thickTop="1">
      <c r="A2" s="204" t="s">
        <v>0</v>
      </c>
      <c r="B2" s="205"/>
      <c r="C2" s="205"/>
      <c r="D2" s="205"/>
      <c r="E2" s="205"/>
      <c r="F2" s="205"/>
      <c r="G2" s="206"/>
    </row>
    <row r="3" spans="1:7" ht="19.5" thickBot="1">
      <c r="A3" s="207" t="s">
        <v>15</v>
      </c>
      <c r="B3" s="208"/>
      <c r="C3" s="208"/>
      <c r="D3" s="208"/>
      <c r="E3" s="208"/>
      <c r="F3" s="208"/>
      <c r="G3" s="209"/>
    </row>
    <row r="4" spans="1:7" ht="30.75" thickTop="1">
      <c r="A4" s="19" t="s">
        <v>16</v>
      </c>
      <c r="B4" s="210" t="s">
        <v>17</v>
      </c>
      <c r="C4" s="211"/>
      <c r="D4" s="212"/>
      <c r="E4" s="212"/>
      <c r="F4" s="213"/>
      <c r="G4" s="20" t="s">
        <v>18</v>
      </c>
    </row>
    <row r="5" spans="1:7" ht="15">
      <c r="A5" s="15">
        <v>1</v>
      </c>
      <c r="B5" s="214">
        <v>2</v>
      </c>
      <c r="C5" s="215"/>
      <c r="D5" s="216"/>
      <c r="E5" s="216"/>
      <c r="F5" s="217"/>
      <c r="G5" s="21">
        <v>3</v>
      </c>
    </row>
    <row r="6" spans="1:7" ht="15.75">
      <c r="A6" s="23">
        <v>1</v>
      </c>
      <c r="B6" s="189" t="s">
        <v>2</v>
      </c>
      <c r="C6" s="190"/>
      <c r="D6" s="191"/>
      <c r="E6" s="191"/>
      <c r="F6" s="192"/>
      <c r="G6" s="22">
        <v>1</v>
      </c>
    </row>
    <row r="7" spans="1:7" ht="15.75" customHeight="1">
      <c r="A7" s="23">
        <v>2</v>
      </c>
      <c r="B7" s="189" t="s">
        <v>15</v>
      </c>
      <c r="C7" s="190"/>
      <c r="D7" s="191"/>
      <c r="E7" s="191"/>
      <c r="F7" s="192"/>
      <c r="G7" s="22">
        <v>2</v>
      </c>
    </row>
    <row r="8" spans="1:7" ht="15.75" customHeight="1">
      <c r="A8" s="23">
        <v>3</v>
      </c>
      <c r="B8" s="189" t="s">
        <v>19</v>
      </c>
      <c r="C8" s="190"/>
      <c r="D8" s="191"/>
      <c r="E8" s="191"/>
      <c r="F8" s="192"/>
      <c r="G8" s="22">
        <v>3</v>
      </c>
    </row>
    <row r="9" spans="1:7" ht="15.75" customHeight="1">
      <c r="A9" s="23">
        <v>4</v>
      </c>
      <c r="B9" s="189" t="s">
        <v>37</v>
      </c>
      <c r="C9" s="190"/>
      <c r="D9" s="191"/>
      <c r="E9" s="191"/>
      <c r="F9" s="192"/>
      <c r="G9" s="22">
        <v>4</v>
      </c>
    </row>
    <row r="10" spans="1:7" ht="15.75" customHeight="1">
      <c r="A10" s="23">
        <v>5</v>
      </c>
      <c r="B10" s="189" t="s">
        <v>81</v>
      </c>
      <c r="C10" s="190"/>
      <c r="D10" s="191"/>
      <c r="E10" s="191"/>
      <c r="F10" s="192"/>
      <c r="G10" s="22" t="s">
        <v>123</v>
      </c>
    </row>
    <row r="11" spans="1:7" ht="15.75" customHeight="1">
      <c r="A11" s="23">
        <v>6</v>
      </c>
      <c r="B11" s="189" t="s">
        <v>81</v>
      </c>
      <c r="C11" s="190"/>
      <c r="D11" s="191"/>
      <c r="E11" s="191"/>
      <c r="F11" s="192"/>
      <c r="G11" s="22" t="s">
        <v>113</v>
      </c>
    </row>
    <row r="12" spans="1:7" ht="31.5" customHeight="1">
      <c r="A12" s="24">
        <v>7</v>
      </c>
      <c r="B12" s="189" t="s">
        <v>60</v>
      </c>
      <c r="C12" s="190"/>
      <c r="D12" s="191"/>
      <c r="E12" s="191"/>
      <c r="F12" s="192"/>
      <c r="G12" s="25">
        <v>6</v>
      </c>
    </row>
    <row r="13" spans="1:7" ht="15.75" customHeight="1">
      <c r="A13" s="23">
        <v>8</v>
      </c>
      <c r="B13" s="189" t="s">
        <v>94</v>
      </c>
      <c r="C13" s="190"/>
      <c r="D13" s="191"/>
      <c r="E13" s="191"/>
      <c r="F13" s="192"/>
      <c r="G13" s="22">
        <v>7</v>
      </c>
    </row>
    <row r="14" spans="1:7" ht="15.75" customHeight="1">
      <c r="A14" s="23">
        <v>9</v>
      </c>
      <c r="B14" s="189" t="s">
        <v>95</v>
      </c>
      <c r="C14" s="190"/>
      <c r="D14" s="191"/>
      <c r="E14" s="191"/>
      <c r="F14" s="192"/>
      <c r="G14" s="22">
        <v>8</v>
      </c>
    </row>
    <row r="15" spans="1:7" ht="15.75" customHeight="1">
      <c r="A15" s="23">
        <v>10</v>
      </c>
      <c r="B15" s="189" t="s">
        <v>96</v>
      </c>
      <c r="C15" s="190"/>
      <c r="D15" s="191"/>
      <c r="E15" s="191"/>
      <c r="F15" s="192"/>
      <c r="G15" s="22">
        <v>9</v>
      </c>
    </row>
    <row r="16" spans="1:7" ht="15.75">
      <c r="A16" s="23"/>
      <c r="B16" s="202" t="s">
        <v>102</v>
      </c>
      <c r="C16" s="203"/>
      <c r="D16" s="191"/>
      <c r="E16" s="191"/>
      <c r="F16" s="192"/>
      <c r="G16" s="22"/>
    </row>
    <row r="17" spans="1:7" ht="15.75">
      <c r="A17" s="74"/>
      <c r="B17" s="195" t="s">
        <v>110</v>
      </c>
      <c r="C17" s="196"/>
      <c r="D17" s="162"/>
      <c r="E17" s="162"/>
      <c r="F17" s="197"/>
      <c r="G17" s="75"/>
    </row>
    <row r="18" spans="1:7" ht="15.75">
      <c r="A18" s="76"/>
      <c r="B18" s="77" t="s">
        <v>122</v>
      </c>
      <c r="C18" s="78" t="s">
        <v>79</v>
      </c>
      <c r="D18" s="79">
        <v>390</v>
      </c>
      <c r="E18" s="198" t="s">
        <v>111</v>
      </c>
      <c r="F18" s="199"/>
      <c r="G18" s="80"/>
    </row>
    <row r="19" spans="1:7" ht="15.75">
      <c r="A19" s="74"/>
      <c r="B19" s="195" t="s">
        <v>126</v>
      </c>
      <c r="C19" s="196"/>
      <c r="D19" s="162"/>
      <c r="E19" s="162"/>
      <c r="F19" s="197"/>
      <c r="G19" s="75"/>
    </row>
    <row r="20" spans="1:7" ht="15" customHeight="1">
      <c r="A20" s="76"/>
      <c r="B20" s="77" t="s">
        <v>121</v>
      </c>
      <c r="C20" s="78" t="s">
        <v>79</v>
      </c>
      <c r="D20" s="79">
        <v>228</v>
      </c>
      <c r="E20" s="198" t="s">
        <v>111</v>
      </c>
      <c r="F20" s="199"/>
      <c r="G20" s="80"/>
    </row>
    <row r="21" spans="1:7" ht="18" customHeight="1" thickBot="1">
      <c r="A21" s="53"/>
      <c r="B21" s="193" t="s">
        <v>112</v>
      </c>
      <c r="C21" s="194"/>
      <c r="D21" s="81" t="str">
        <f>B20</f>
        <v>12.04.2012 г.</v>
      </c>
      <c r="E21" s="200" t="s">
        <v>111</v>
      </c>
      <c r="F21" s="201"/>
      <c r="G21" s="54"/>
    </row>
    <row r="22" spans="1:7" ht="13.5" thickTop="1">
      <c r="A22" s="14"/>
      <c r="B22" s="14"/>
      <c r="C22" s="14"/>
      <c r="D22" s="14"/>
      <c r="E22" s="14"/>
      <c r="F22" s="14"/>
      <c r="G22" s="14"/>
    </row>
  </sheetData>
  <mergeCells count="22">
    <mergeCell ref="A1:E1"/>
    <mergeCell ref="A2:G2"/>
    <mergeCell ref="A3:G3"/>
    <mergeCell ref="B4:F4"/>
    <mergeCell ref="B5:F5"/>
    <mergeCell ref="B21:C21"/>
    <mergeCell ref="B8:F8"/>
    <mergeCell ref="B19:F19"/>
    <mergeCell ref="E20:F20"/>
    <mergeCell ref="E21:F21"/>
    <mergeCell ref="B9:F9"/>
    <mergeCell ref="B10:F10"/>
    <mergeCell ref="B15:F15"/>
    <mergeCell ref="B16:F16"/>
    <mergeCell ref="B17:F17"/>
    <mergeCell ref="E18:F18"/>
    <mergeCell ref="B6:F6"/>
    <mergeCell ref="B7:F7"/>
    <mergeCell ref="B11:F11"/>
    <mergeCell ref="B12:F12"/>
    <mergeCell ref="B14:F14"/>
    <mergeCell ref="B13:F13"/>
  </mergeCells>
  <phoneticPr fontId="9" type="noConversion"/>
  <pageMargins left="0.75" right="0.13" top="0.2" bottom="1" header="0.12" footer="0.5"/>
  <pageSetup paperSize="9" orientation="portrait" horizontalDpi="4294967295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4" workbookViewId="0">
      <selection activeCell="N19" sqref="N19"/>
    </sheetView>
  </sheetViews>
  <sheetFormatPr defaultRowHeight="12.75"/>
  <cols>
    <col min="1" max="1" width="7.28515625" customWidth="1"/>
    <col min="4" max="4" width="7.85546875" customWidth="1"/>
    <col min="5" max="5" width="7" customWidth="1"/>
    <col min="6" max="6" width="6.5703125" customWidth="1"/>
    <col min="8" max="8" width="11.5703125" customWidth="1"/>
    <col min="9" max="9" width="14.28515625" customWidth="1"/>
    <col min="10" max="10" width="15.28515625" customWidth="1"/>
  </cols>
  <sheetData>
    <row r="1" spans="1:10" ht="20.25" customHeight="1" thickTop="1" thickBot="1">
      <c r="A1" s="277"/>
      <c r="B1" s="277"/>
      <c r="C1" s="277"/>
      <c r="D1" s="277"/>
      <c r="E1" s="277"/>
      <c r="F1" s="277"/>
      <c r="G1" s="277"/>
      <c r="H1" s="278"/>
      <c r="I1" s="5" t="s">
        <v>36</v>
      </c>
      <c r="J1" s="9">
        <v>3</v>
      </c>
    </row>
    <row r="2" spans="1:10" ht="20.25" thickTop="1">
      <c r="A2" s="279" t="s">
        <v>0</v>
      </c>
      <c r="B2" s="280"/>
      <c r="C2" s="280"/>
      <c r="D2" s="280"/>
      <c r="E2" s="280"/>
      <c r="F2" s="280"/>
      <c r="G2" s="280"/>
      <c r="H2" s="280"/>
      <c r="I2" s="280"/>
      <c r="J2" s="281"/>
    </row>
    <row r="3" spans="1:10" ht="20.25" thickBot="1">
      <c r="A3" s="282" t="s">
        <v>19</v>
      </c>
      <c r="B3" s="283"/>
      <c r="C3" s="283"/>
      <c r="D3" s="283"/>
      <c r="E3" s="283"/>
      <c r="F3" s="283"/>
      <c r="G3" s="283"/>
      <c r="H3" s="283"/>
      <c r="I3" s="283"/>
      <c r="J3" s="284"/>
    </row>
    <row r="4" spans="1:10" ht="16.5" thickTop="1">
      <c r="A4" s="256" t="s">
        <v>20</v>
      </c>
      <c r="B4" s="257"/>
      <c r="C4" s="257"/>
      <c r="D4" s="257"/>
      <c r="E4" s="257"/>
      <c r="F4" s="257"/>
      <c r="G4" s="257"/>
      <c r="H4" s="257"/>
      <c r="I4" s="257"/>
      <c r="J4" s="258"/>
    </row>
    <row r="5" spans="1:10" ht="15.75">
      <c r="A5" s="26" t="s">
        <v>16</v>
      </c>
      <c r="B5" s="237" t="s">
        <v>21</v>
      </c>
      <c r="C5" s="237"/>
      <c r="D5" s="237"/>
      <c r="E5" s="238"/>
      <c r="F5" s="237" t="s">
        <v>22</v>
      </c>
      <c r="G5" s="238"/>
      <c r="H5" s="238"/>
      <c r="I5" s="238"/>
      <c r="J5" s="239"/>
    </row>
    <row r="6" spans="1:10" s="4" customFormat="1">
      <c r="A6" s="29">
        <v>1</v>
      </c>
      <c r="B6" s="229">
        <v>2</v>
      </c>
      <c r="C6" s="229"/>
      <c r="D6" s="229"/>
      <c r="E6" s="260"/>
      <c r="F6" s="229">
        <v>3</v>
      </c>
      <c r="G6" s="260"/>
      <c r="H6" s="260"/>
      <c r="I6" s="260"/>
      <c r="J6" s="261"/>
    </row>
    <row r="7" spans="1:10" ht="30" customHeight="1">
      <c r="A7" s="30">
        <v>1</v>
      </c>
      <c r="B7" s="269" t="s">
        <v>77</v>
      </c>
      <c r="C7" s="269"/>
      <c r="D7" s="269"/>
      <c r="E7" s="238"/>
      <c r="F7" s="33" t="s">
        <v>79</v>
      </c>
      <c r="G7" s="274" t="s">
        <v>125</v>
      </c>
      <c r="H7" s="275"/>
      <c r="I7" s="64" t="s">
        <v>78</v>
      </c>
      <c r="J7" s="34" t="s">
        <v>124</v>
      </c>
    </row>
    <row r="8" spans="1:10" ht="34.5" customHeight="1">
      <c r="A8" s="30">
        <v>3</v>
      </c>
      <c r="B8" s="269" t="s">
        <v>127</v>
      </c>
      <c r="C8" s="269"/>
      <c r="D8" s="269"/>
      <c r="E8" s="238"/>
      <c r="F8" s="33" t="s">
        <v>79</v>
      </c>
      <c r="G8" s="272">
        <f>Содерж!D20</f>
        <v>228</v>
      </c>
      <c r="H8" s="273"/>
      <c r="I8" s="64" t="s">
        <v>78</v>
      </c>
      <c r="J8" s="34" t="str">
        <f>Содерж!B20</f>
        <v>12.04.2012 г.</v>
      </c>
    </row>
    <row r="9" spans="1:10" ht="34.5" customHeight="1" thickBot="1">
      <c r="A9" s="31">
        <v>4</v>
      </c>
      <c r="B9" s="270" t="s">
        <v>115</v>
      </c>
      <c r="C9" s="270"/>
      <c r="D9" s="270"/>
      <c r="E9" s="271"/>
      <c r="F9" s="276" t="s">
        <v>80</v>
      </c>
      <c r="G9" s="182"/>
      <c r="H9" s="182"/>
      <c r="I9" s="65" t="s">
        <v>78</v>
      </c>
      <c r="J9" s="34" t="str">
        <f>J8</f>
        <v>12.04.2012 г.</v>
      </c>
    </row>
    <row r="10" spans="1:10" ht="18" customHeight="1" thickTop="1">
      <c r="A10" s="231" t="s">
        <v>166</v>
      </c>
      <c r="B10" s="232"/>
      <c r="C10" s="232"/>
      <c r="D10" s="232"/>
      <c r="E10" s="232"/>
      <c r="F10" s="232"/>
      <c r="G10" s="232"/>
      <c r="H10" s="232"/>
      <c r="I10" s="232"/>
      <c r="J10" s="233"/>
    </row>
    <row r="11" spans="1:10" ht="15.75" customHeight="1">
      <c r="A11" s="264" t="s">
        <v>35</v>
      </c>
      <c r="B11" s="265"/>
      <c r="C11" s="265"/>
      <c r="D11" s="266" t="s">
        <v>103</v>
      </c>
      <c r="E11" s="267"/>
      <c r="F11" s="267"/>
      <c r="G11" s="267"/>
      <c r="H11" s="267"/>
      <c r="I11" s="267"/>
      <c r="J11" s="268"/>
    </row>
    <row r="12" spans="1:10" ht="33" customHeight="1">
      <c r="A12" s="262" t="s">
        <v>16</v>
      </c>
      <c r="B12" s="229" t="s">
        <v>23</v>
      </c>
      <c r="C12" s="229"/>
      <c r="D12" s="229" t="s">
        <v>24</v>
      </c>
      <c r="E12" s="229"/>
      <c r="F12" s="229" t="s">
        <v>25</v>
      </c>
      <c r="G12" s="229"/>
      <c r="H12" s="229"/>
      <c r="I12" s="229"/>
      <c r="J12" s="263"/>
    </row>
    <row r="13" spans="1:10">
      <c r="A13" s="262"/>
      <c r="B13" s="229"/>
      <c r="C13" s="229"/>
      <c r="D13" s="229"/>
      <c r="E13" s="229"/>
      <c r="F13" s="229" t="s">
        <v>26</v>
      </c>
      <c r="G13" s="229"/>
      <c r="H13" s="229"/>
      <c r="I13" s="229" t="s">
        <v>27</v>
      </c>
      <c r="J13" s="251"/>
    </row>
    <row r="14" spans="1:10">
      <c r="A14" s="29">
        <v>1</v>
      </c>
      <c r="B14" s="218">
        <v>2</v>
      </c>
      <c r="C14" s="218"/>
      <c r="D14" s="218">
        <v>3</v>
      </c>
      <c r="E14" s="218"/>
      <c r="F14" s="218">
        <v>4</v>
      </c>
      <c r="G14" s="218"/>
      <c r="H14" s="218"/>
      <c r="I14" s="218">
        <v>5</v>
      </c>
      <c r="J14" s="255"/>
    </row>
    <row r="15" spans="1:10">
      <c r="A15" s="105">
        <v>1</v>
      </c>
      <c r="B15" s="219">
        <v>585</v>
      </c>
      <c r="C15" s="219"/>
      <c r="D15" s="225" t="s">
        <v>114</v>
      </c>
      <c r="E15" s="225"/>
      <c r="F15" s="226">
        <v>446918.59</v>
      </c>
      <c r="G15" s="226"/>
      <c r="H15" s="226"/>
      <c r="I15" s="226">
        <v>2514466.12</v>
      </c>
      <c r="J15" s="227"/>
    </row>
    <row r="16" spans="1:10">
      <c r="A16" s="105">
        <v>2</v>
      </c>
      <c r="B16" s="219">
        <v>614</v>
      </c>
      <c r="C16" s="219"/>
      <c r="D16" s="225" t="s">
        <v>159</v>
      </c>
      <c r="E16" s="225"/>
      <c r="F16" s="226">
        <v>454792.76</v>
      </c>
      <c r="G16" s="226"/>
      <c r="H16" s="226"/>
      <c r="I16" s="226">
        <v>2512774.21</v>
      </c>
      <c r="J16" s="227"/>
    </row>
    <row r="17" spans="1:10" ht="13.5" thickBot="1">
      <c r="A17" s="105">
        <v>2</v>
      </c>
      <c r="B17" s="219">
        <v>615</v>
      </c>
      <c r="C17" s="219"/>
      <c r="D17" s="225" t="s">
        <v>160</v>
      </c>
      <c r="E17" s="225"/>
      <c r="F17" s="226">
        <v>454685.45</v>
      </c>
      <c r="G17" s="226"/>
      <c r="H17" s="226"/>
      <c r="I17" s="226">
        <v>2516751.96</v>
      </c>
      <c r="J17" s="227"/>
    </row>
    <row r="18" spans="1:10" ht="13.5" thickTop="1">
      <c r="A18" s="231" t="s">
        <v>28</v>
      </c>
      <c r="B18" s="232"/>
      <c r="C18" s="232"/>
      <c r="D18" s="232"/>
      <c r="E18" s="232"/>
      <c r="F18" s="232"/>
      <c r="G18" s="232"/>
      <c r="H18" s="232"/>
      <c r="I18" s="232"/>
      <c r="J18" s="233"/>
    </row>
    <row r="19" spans="1:10" ht="42.75" customHeight="1">
      <c r="A19" s="104" t="s">
        <v>16</v>
      </c>
      <c r="B19" s="229" t="s">
        <v>29</v>
      </c>
      <c r="C19" s="229"/>
      <c r="D19" s="229"/>
      <c r="E19" s="229" t="s">
        <v>130</v>
      </c>
      <c r="F19" s="245"/>
      <c r="G19" s="245"/>
      <c r="H19" s="245"/>
      <c r="I19" s="229" t="s">
        <v>30</v>
      </c>
      <c r="J19" s="230"/>
    </row>
    <row r="20" spans="1:10">
      <c r="A20" s="29">
        <v>1</v>
      </c>
      <c r="B20" s="218">
        <v>2</v>
      </c>
      <c r="C20" s="218"/>
      <c r="D20" s="218"/>
      <c r="E20" s="218">
        <v>3</v>
      </c>
      <c r="F20" s="259"/>
      <c r="G20" s="259"/>
      <c r="H20" s="259"/>
      <c r="I20" s="229">
        <v>4</v>
      </c>
      <c r="J20" s="251"/>
    </row>
    <row r="21" spans="1:10" ht="40.5" customHeight="1">
      <c r="A21" s="106">
        <v>1</v>
      </c>
      <c r="B21" s="228" t="s">
        <v>73</v>
      </c>
      <c r="C21" s="228"/>
      <c r="D21" s="228"/>
      <c r="E21" s="220" t="s">
        <v>74</v>
      </c>
      <c r="F21" s="221"/>
      <c r="G21" s="221"/>
      <c r="H21" s="222"/>
      <c r="I21" s="223" t="s">
        <v>161</v>
      </c>
      <c r="J21" s="224"/>
    </row>
    <row r="22" spans="1:10" ht="40.5" customHeight="1">
      <c r="A22" s="107">
        <v>2</v>
      </c>
      <c r="B22" s="228" t="s">
        <v>162</v>
      </c>
      <c r="C22" s="228"/>
      <c r="D22" s="228"/>
      <c r="E22" s="220" t="s">
        <v>74</v>
      </c>
      <c r="F22" s="221"/>
      <c r="G22" s="221"/>
      <c r="H22" s="222"/>
      <c r="I22" s="223" t="s">
        <v>163</v>
      </c>
      <c r="J22" s="224"/>
    </row>
    <row r="23" spans="1:10" ht="40.5" customHeight="1">
      <c r="A23" s="107">
        <v>3</v>
      </c>
      <c r="B23" s="228" t="s">
        <v>162</v>
      </c>
      <c r="C23" s="228"/>
      <c r="D23" s="228"/>
      <c r="E23" s="220" t="s">
        <v>74</v>
      </c>
      <c r="F23" s="221"/>
      <c r="G23" s="221"/>
      <c r="H23" s="222"/>
      <c r="I23" s="223" t="s">
        <v>164</v>
      </c>
      <c r="J23" s="224"/>
    </row>
    <row r="24" spans="1:10" ht="40.5" customHeight="1" thickBot="1">
      <c r="A24" s="107">
        <v>4</v>
      </c>
      <c r="B24" s="228" t="s">
        <v>162</v>
      </c>
      <c r="C24" s="228"/>
      <c r="D24" s="228"/>
      <c r="E24" s="220" t="s">
        <v>74</v>
      </c>
      <c r="F24" s="221"/>
      <c r="G24" s="221"/>
      <c r="H24" s="222"/>
      <c r="I24" s="223" t="s">
        <v>165</v>
      </c>
      <c r="J24" s="224"/>
    </row>
    <row r="25" spans="1:10" ht="31.5" customHeight="1" thickTop="1">
      <c r="A25" s="252" t="s">
        <v>31</v>
      </c>
      <c r="B25" s="253"/>
      <c r="C25" s="253"/>
      <c r="D25" s="253"/>
      <c r="E25" s="253"/>
      <c r="F25" s="253"/>
      <c r="G25" s="253"/>
      <c r="H25" s="253"/>
      <c r="I25" s="253"/>
      <c r="J25" s="254"/>
    </row>
    <row r="26" spans="1:10" ht="49.5" customHeight="1">
      <c r="A26" s="35" t="s">
        <v>16</v>
      </c>
      <c r="B26" s="237" t="s">
        <v>32</v>
      </c>
      <c r="C26" s="243"/>
      <c r="D26" s="243"/>
      <c r="E26" s="243"/>
      <c r="F26" s="237" t="s">
        <v>131</v>
      </c>
      <c r="G26" s="238"/>
      <c r="H26" s="238"/>
      <c r="I26" s="238"/>
      <c r="J26" s="239"/>
    </row>
    <row r="27" spans="1:10" ht="15">
      <c r="A27" s="15">
        <v>1</v>
      </c>
      <c r="B27" s="144">
        <v>2</v>
      </c>
      <c r="C27" s="241"/>
      <c r="D27" s="241"/>
      <c r="E27" s="241"/>
      <c r="F27" s="144">
        <v>3</v>
      </c>
      <c r="G27" s="172"/>
      <c r="H27" s="172"/>
      <c r="I27" s="172"/>
      <c r="J27" s="244"/>
    </row>
    <row r="28" spans="1:10" ht="17.25" customHeight="1" thickBot="1">
      <c r="A28" s="38" t="s">
        <v>74</v>
      </c>
      <c r="B28" s="246" t="s">
        <v>74</v>
      </c>
      <c r="C28" s="247"/>
      <c r="D28" s="247"/>
      <c r="E28" s="247"/>
      <c r="F28" s="248" t="s">
        <v>74</v>
      </c>
      <c r="G28" s="249"/>
      <c r="H28" s="249"/>
      <c r="I28" s="249"/>
      <c r="J28" s="250"/>
    </row>
    <row r="29" spans="1:10" ht="16.5" thickTop="1">
      <c r="A29" s="256" t="s">
        <v>33</v>
      </c>
      <c r="B29" s="257"/>
      <c r="C29" s="257"/>
      <c r="D29" s="257"/>
      <c r="E29" s="257"/>
      <c r="F29" s="257"/>
      <c r="G29" s="257"/>
      <c r="H29" s="257"/>
      <c r="I29" s="257"/>
      <c r="J29" s="258"/>
    </row>
    <row r="30" spans="1:10" ht="32.25" customHeight="1">
      <c r="A30" s="35" t="s">
        <v>16</v>
      </c>
      <c r="B30" s="237" t="s">
        <v>32</v>
      </c>
      <c r="C30" s="243"/>
      <c r="D30" s="243"/>
      <c r="E30" s="243"/>
      <c r="F30" s="237" t="s">
        <v>34</v>
      </c>
      <c r="G30" s="238"/>
      <c r="H30" s="238"/>
      <c r="I30" s="238"/>
      <c r="J30" s="239"/>
    </row>
    <row r="31" spans="1:10" ht="15">
      <c r="A31" s="15">
        <v>1</v>
      </c>
      <c r="B31" s="240">
        <v>2</v>
      </c>
      <c r="C31" s="241"/>
      <c r="D31" s="241"/>
      <c r="E31" s="241"/>
      <c r="F31" s="240">
        <v>3</v>
      </c>
      <c r="G31" s="241"/>
      <c r="H31" s="241"/>
      <c r="I31" s="241"/>
      <c r="J31" s="242"/>
    </row>
    <row r="32" spans="1:10" ht="16.5" thickBot="1">
      <c r="A32" s="37" t="s">
        <v>74</v>
      </c>
      <c r="B32" s="234" t="s">
        <v>74</v>
      </c>
      <c r="C32" s="235"/>
      <c r="D32" s="235"/>
      <c r="E32" s="235"/>
      <c r="F32" s="234" t="s">
        <v>74</v>
      </c>
      <c r="G32" s="235"/>
      <c r="H32" s="235"/>
      <c r="I32" s="235"/>
      <c r="J32" s="236"/>
    </row>
    <row r="33" ht="13.5" thickTop="1"/>
  </sheetData>
  <mergeCells count="72">
    <mergeCell ref="G8:H8"/>
    <mergeCell ref="G7:H7"/>
    <mergeCell ref="F9:H9"/>
    <mergeCell ref="A1:H1"/>
    <mergeCell ref="A2:J2"/>
    <mergeCell ref="A3:J3"/>
    <mergeCell ref="A4:J4"/>
    <mergeCell ref="B5:E5"/>
    <mergeCell ref="E20:H20"/>
    <mergeCell ref="B6:E6"/>
    <mergeCell ref="F5:J5"/>
    <mergeCell ref="F6:J6"/>
    <mergeCell ref="A10:J10"/>
    <mergeCell ref="A12:A13"/>
    <mergeCell ref="B12:C13"/>
    <mergeCell ref="D12:E13"/>
    <mergeCell ref="F12:J12"/>
    <mergeCell ref="F13:H13"/>
    <mergeCell ref="A11:C11"/>
    <mergeCell ref="I13:J13"/>
    <mergeCell ref="D11:J11"/>
    <mergeCell ref="B7:E7"/>
    <mergeCell ref="B8:E8"/>
    <mergeCell ref="B9:E9"/>
    <mergeCell ref="D14:E14"/>
    <mergeCell ref="F14:H14"/>
    <mergeCell ref="B15:C15"/>
    <mergeCell ref="B31:E31"/>
    <mergeCell ref="F26:J26"/>
    <mergeCell ref="B26:E26"/>
    <mergeCell ref="A25:J25"/>
    <mergeCell ref="B21:D21"/>
    <mergeCell ref="I21:J21"/>
    <mergeCell ref="E21:H21"/>
    <mergeCell ref="B23:D23"/>
    <mergeCell ref="E23:H23"/>
    <mergeCell ref="I23:J23"/>
    <mergeCell ref="B24:D24"/>
    <mergeCell ref="I14:J14"/>
    <mergeCell ref="A29:J29"/>
    <mergeCell ref="D15:E15"/>
    <mergeCell ref="F16:H16"/>
    <mergeCell ref="B32:E32"/>
    <mergeCell ref="F32:J32"/>
    <mergeCell ref="F30:J30"/>
    <mergeCell ref="F31:J31"/>
    <mergeCell ref="B30:E30"/>
    <mergeCell ref="D16:E16"/>
    <mergeCell ref="F27:J27"/>
    <mergeCell ref="B27:E27"/>
    <mergeCell ref="B19:D19"/>
    <mergeCell ref="B20:D20"/>
    <mergeCell ref="E19:H19"/>
    <mergeCell ref="B28:E28"/>
    <mergeCell ref="F28:J28"/>
    <mergeCell ref="I20:J20"/>
    <mergeCell ref="B14:C14"/>
    <mergeCell ref="B16:C16"/>
    <mergeCell ref="E24:H24"/>
    <mergeCell ref="I24:J24"/>
    <mergeCell ref="B17:C17"/>
    <mergeCell ref="D17:E17"/>
    <mergeCell ref="F17:H17"/>
    <mergeCell ref="I17:J17"/>
    <mergeCell ref="B22:D22"/>
    <mergeCell ref="E22:H22"/>
    <mergeCell ref="I22:J22"/>
    <mergeCell ref="I16:J16"/>
    <mergeCell ref="I19:J19"/>
    <mergeCell ref="I15:J15"/>
    <mergeCell ref="A18:J18"/>
    <mergeCell ref="F15:H15"/>
  </mergeCells>
  <phoneticPr fontId="9" type="noConversion"/>
  <pageMargins left="0.64" right="0.13" top="0.26" bottom="0.56000000000000005" header="0.12" footer="0.5"/>
  <pageSetup paperSize="9" orientation="portrait" horizontalDpi="4294967295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zoomScaleNormal="100" workbookViewId="0">
      <selection activeCell="A20" sqref="A20:I20"/>
    </sheetView>
  </sheetViews>
  <sheetFormatPr defaultRowHeight="12.75"/>
  <cols>
    <col min="1" max="1" width="4.85546875" customWidth="1"/>
    <col min="2" max="2" width="19.140625" customWidth="1"/>
    <col min="3" max="3" width="2.85546875" customWidth="1"/>
    <col min="4" max="4" width="15.5703125" customWidth="1"/>
    <col min="5" max="5" width="3.7109375" customWidth="1"/>
    <col min="6" max="6" width="12" customWidth="1"/>
    <col min="7" max="7" width="11.5703125" bestFit="1" customWidth="1"/>
    <col min="8" max="8" width="10" customWidth="1"/>
    <col min="9" max="9" width="9.85546875" customWidth="1"/>
  </cols>
  <sheetData>
    <row r="1" spans="1:9" ht="16.5" thickTop="1" thickBot="1">
      <c r="A1" s="187"/>
      <c r="B1" s="187"/>
      <c r="C1" s="187"/>
      <c r="D1" s="187"/>
      <c r="E1" s="187"/>
      <c r="F1" s="187"/>
      <c r="G1" s="188"/>
      <c r="H1" s="1" t="s">
        <v>50</v>
      </c>
      <c r="I1" s="10">
        <v>4</v>
      </c>
    </row>
    <row r="2" spans="1:9" ht="19.5" thickTop="1">
      <c r="A2" s="204" t="s">
        <v>0</v>
      </c>
      <c r="B2" s="205"/>
      <c r="C2" s="205"/>
      <c r="D2" s="205"/>
      <c r="E2" s="205"/>
      <c r="F2" s="205"/>
      <c r="G2" s="205"/>
      <c r="H2" s="205"/>
      <c r="I2" s="206"/>
    </row>
    <row r="3" spans="1:9" ht="19.5" thickBot="1">
      <c r="A3" s="207" t="s">
        <v>37</v>
      </c>
      <c r="B3" s="208"/>
      <c r="C3" s="208"/>
      <c r="D3" s="208"/>
      <c r="E3" s="208"/>
      <c r="F3" s="208"/>
      <c r="G3" s="208"/>
      <c r="H3" s="208"/>
      <c r="I3" s="209"/>
    </row>
    <row r="4" spans="1:9" ht="15.75" thickTop="1">
      <c r="A4" s="290" t="s">
        <v>38</v>
      </c>
      <c r="B4" s="291"/>
      <c r="C4" s="291"/>
      <c r="D4" s="291"/>
      <c r="E4" s="291"/>
      <c r="F4" s="291"/>
      <c r="G4" s="291"/>
      <c r="H4" s="291"/>
      <c r="I4" s="292"/>
    </row>
    <row r="5" spans="1:9" ht="44.25" customHeight="1">
      <c r="A5" s="39" t="s">
        <v>16</v>
      </c>
      <c r="B5" s="285" t="s">
        <v>39</v>
      </c>
      <c r="C5" s="285"/>
      <c r="D5" s="285" t="s">
        <v>40</v>
      </c>
      <c r="E5" s="285"/>
      <c r="F5" s="285"/>
      <c r="G5" s="285"/>
      <c r="H5" s="285"/>
      <c r="I5" s="286"/>
    </row>
    <row r="6" spans="1:9" ht="15">
      <c r="A6" s="39">
        <v>1</v>
      </c>
      <c r="B6" s="285">
        <v>2</v>
      </c>
      <c r="C6" s="285"/>
      <c r="D6" s="285">
        <v>3</v>
      </c>
      <c r="E6" s="285"/>
      <c r="F6" s="285"/>
      <c r="G6" s="285"/>
      <c r="H6" s="285"/>
      <c r="I6" s="286"/>
    </row>
    <row r="7" spans="1:9" ht="34.5" customHeight="1" thickBot="1">
      <c r="A7" s="40">
        <v>1</v>
      </c>
      <c r="B7" s="287" t="s">
        <v>97</v>
      </c>
      <c r="C7" s="287"/>
      <c r="D7" s="270" t="s">
        <v>144</v>
      </c>
      <c r="E7" s="270"/>
      <c r="F7" s="270"/>
      <c r="G7" s="270"/>
      <c r="H7" s="270"/>
      <c r="I7" s="289"/>
    </row>
    <row r="8" spans="1:9" ht="15.75" thickTop="1">
      <c r="A8" s="290" t="s">
        <v>41</v>
      </c>
      <c r="B8" s="291"/>
      <c r="C8" s="291"/>
      <c r="D8" s="291"/>
      <c r="E8" s="291"/>
      <c r="F8" s="291"/>
      <c r="G8" s="291"/>
      <c r="H8" s="291"/>
      <c r="I8" s="292"/>
    </row>
    <row r="9" spans="1:9" ht="43.5" customHeight="1">
      <c r="A9" s="39" t="s">
        <v>16</v>
      </c>
      <c r="B9" s="285" t="s">
        <v>39</v>
      </c>
      <c r="C9" s="285"/>
      <c r="D9" s="285" t="s">
        <v>42</v>
      </c>
      <c r="E9" s="285"/>
      <c r="F9" s="285"/>
      <c r="G9" s="285"/>
      <c r="H9" s="285"/>
      <c r="I9" s="286"/>
    </row>
    <row r="10" spans="1:9" ht="15">
      <c r="A10" s="39">
        <v>1</v>
      </c>
      <c r="B10" s="285">
        <v>2</v>
      </c>
      <c r="C10" s="285"/>
      <c r="D10" s="285">
        <v>3</v>
      </c>
      <c r="E10" s="285"/>
      <c r="F10" s="285"/>
      <c r="G10" s="285"/>
      <c r="H10" s="285"/>
      <c r="I10" s="286"/>
    </row>
    <row r="11" spans="1:9" ht="27" customHeight="1" thickBot="1">
      <c r="A11" s="51">
        <v>1</v>
      </c>
      <c r="B11" s="287" t="str">
        <f>B7</f>
        <v>:ЗУ1</v>
      </c>
      <c r="C11" s="288"/>
      <c r="D11" s="89" t="s">
        <v>143</v>
      </c>
      <c r="E11" s="92" t="s">
        <v>141</v>
      </c>
      <c r="F11" s="96">
        <f ca="1">POWER((RAND()*0.1)/10,0.5)</f>
        <v>6.7684653564652072E-2</v>
      </c>
      <c r="G11" s="97">
        <f ca="1">POWER(POWER(I11,2)-POWER(F11,2),0.5)</f>
        <v>7.3612415201737766E-2</v>
      </c>
      <c r="H11" s="91" t="s">
        <v>142</v>
      </c>
      <c r="I11" s="90">
        <v>0.1</v>
      </c>
    </row>
    <row r="12" spans="1:9" ht="15.75" thickTop="1">
      <c r="A12" s="290" t="s">
        <v>43</v>
      </c>
      <c r="B12" s="291"/>
      <c r="C12" s="291"/>
      <c r="D12" s="291"/>
      <c r="E12" s="291"/>
      <c r="F12" s="291"/>
      <c r="G12" s="291"/>
      <c r="H12" s="291"/>
      <c r="I12" s="292"/>
    </row>
    <row r="13" spans="1:9" ht="46.5" customHeight="1">
      <c r="A13" s="39" t="s">
        <v>16</v>
      </c>
      <c r="B13" s="285" t="s">
        <v>39</v>
      </c>
      <c r="C13" s="293"/>
      <c r="D13" s="285" t="s">
        <v>44</v>
      </c>
      <c r="E13" s="238"/>
      <c r="F13" s="285" t="s">
        <v>42</v>
      </c>
      <c r="G13" s="285"/>
      <c r="H13" s="285"/>
      <c r="I13" s="286"/>
    </row>
    <row r="14" spans="1:9" ht="15">
      <c r="A14" s="39">
        <v>1</v>
      </c>
      <c r="B14" s="285">
        <v>2</v>
      </c>
      <c r="C14" s="241"/>
      <c r="D14" s="285">
        <v>3</v>
      </c>
      <c r="E14" s="238"/>
      <c r="F14" s="285">
        <v>4</v>
      </c>
      <c r="G14" s="285"/>
      <c r="H14" s="285"/>
      <c r="I14" s="286"/>
    </row>
    <row r="15" spans="1:9" ht="19.5" customHeight="1" thickBot="1">
      <c r="A15" s="39" t="s">
        <v>74</v>
      </c>
      <c r="B15" s="301" t="s">
        <v>74</v>
      </c>
      <c r="C15" s="260"/>
      <c r="D15" s="302" t="s">
        <v>74</v>
      </c>
      <c r="E15" s="303"/>
      <c r="F15" s="304" t="s">
        <v>74</v>
      </c>
      <c r="G15" s="305"/>
      <c r="H15" s="305"/>
      <c r="I15" s="306"/>
    </row>
    <row r="16" spans="1:9" ht="15.75" customHeight="1" thickTop="1">
      <c r="A16" s="290" t="s">
        <v>45</v>
      </c>
      <c r="B16" s="291"/>
      <c r="C16" s="291"/>
      <c r="D16" s="291"/>
      <c r="E16" s="291"/>
      <c r="F16" s="291"/>
      <c r="G16" s="291"/>
      <c r="H16" s="291"/>
      <c r="I16" s="292"/>
    </row>
    <row r="17" spans="1:9" ht="51.75" customHeight="1">
      <c r="A17" s="39" t="s">
        <v>16</v>
      </c>
      <c r="B17" s="285" t="s">
        <v>39</v>
      </c>
      <c r="C17" s="241"/>
      <c r="D17" s="36" t="s">
        <v>46</v>
      </c>
      <c r="E17" s="285" t="s">
        <v>47</v>
      </c>
      <c r="F17" s="285"/>
      <c r="G17" s="285"/>
      <c r="H17" s="285"/>
      <c r="I17" s="286"/>
    </row>
    <row r="18" spans="1:9" ht="15">
      <c r="A18" s="39">
        <v>1</v>
      </c>
      <c r="B18" s="285">
        <v>2</v>
      </c>
      <c r="C18" s="241"/>
      <c r="D18" s="36">
        <v>3</v>
      </c>
      <c r="E18" s="285">
        <v>4</v>
      </c>
      <c r="F18" s="285"/>
      <c r="G18" s="285"/>
      <c r="H18" s="285"/>
      <c r="I18" s="286"/>
    </row>
    <row r="19" spans="1:9" ht="20.25" customHeight="1" thickBot="1">
      <c r="A19" s="40">
        <v>1</v>
      </c>
      <c r="B19" s="287" t="str">
        <f>B11</f>
        <v>:ЗУ1</v>
      </c>
      <c r="C19" s="287"/>
      <c r="D19" s="32">
        <v>696</v>
      </c>
      <c r="E19" s="299" t="str">
        <f>CONCATENATE("ΔPдоп = 3,5*",I11,"√ ",D19,"=")</f>
        <v>ΔPдоп = 3,5*0,1√ 696=</v>
      </c>
      <c r="F19" s="300"/>
      <c r="G19" s="300"/>
      <c r="H19" s="300"/>
      <c r="I19" s="41">
        <f>3.5*(I11)*SQRT(D19)</f>
        <v>9.2336341707910439</v>
      </c>
    </row>
    <row r="20" spans="1:9" ht="15.75" customHeight="1" thickTop="1">
      <c r="A20" s="290" t="s">
        <v>48</v>
      </c>
      <c r="B20" s="291"/>
      <c r="C20" s="291"/>
      <c r="D20" s="291"/>
      <c r="E20" s="291"/>
      <c r="F20" s="291"/>
      <c r="G20" s="291"/>
      <c r="H20" s="291"/>
      <c r="I20" s="292"/>
    </row>
    <row r="21" spans="1:9" ht="82.5" customHeight="1">
      <c r="A21" s="39" t="s">
        <v>16</v>
      </c>
      <c r="B21" s="36" t="s">
        <v>39</v>
      </c>
      <c r="C21" s="285" t="s">
        <v>44</v>
      </c>
      <c r="D21" s="241"/>
      <c r="E21" s="285" t="s">
        <v>46</v>
      </c>
      <c r="F21" s="238"/>
      <c r="G21" s="285" t="s">
        <v>49</v>
      </c>
      <c r="H21" s="285"/>
      <c r="I21" s="286"/>
    </row>
    <row r="22" spans="1:9" ht="15">
      <c r="A22" s="39">
        <v>1</v>
      </c>
      <c r="B22" s="36">
        <v>2</v>
      </c>
      <c r="C22" s="285">
        <v>3</v>
      </c>
      <c r="D22" s="241"/>
      <c r="E22" s="285">
        <v>4</v>
      </c>
      <c r="F22" s="238"/>
      <c r="G22" s="285">
        <v>5</v>
      </c>
      <c r="H22" s="285"/>
      <c r="I22" s="286"/>
    </row>
    <row r="23" spans="1:9" ht="16.5" customHeight="1" thickBot="1">
      <c r="A23" s="42" t="s">
        <v>74</v>
      </c>
      <c r="B23" s="43" t="s">
        <v>74</v>
      </c>
      <c r="C23" s="294" t="str">
        <f>D15</f>
        <v>-</v>
      </c>
      <c r="D23" s="295"/>
      <c r="E23" s="276" t="s">
        <v>74</v>
      </c>
      <c r="F23" s="298"/>
      <c r="G23" s="296" t="s">
        <v>74</v>
      </c>
      <c r="H23" s="297"/>
      <c r="I23" s="183"/>
    </row>
    <row r="24" spans="1:9" ht="13.5" thickTop="1"/>
  </sheetData>
  <mergeCells count="43">
    <mergeCell ref="E17:I17"/>
    <mergeCell ref="B17:C17"/>
    <mergeCell ref="B15:C15"/>
    <mergeCell ref="D15:E15"/>
    <mergeCell ref="F15:I15"/>
    <mergeCell ref="B14:C14"/>
    <mergeCell ref="D14:E14"/>
    <mergeCell ref="F14:I14"/>
    <mergeCell ref="A16:I16"/>
    <mergeCell ref="C23:D23"/>
    <mergeCell ref="G22:I22"/>
    <mergeCell ref="E18:I18"/>
    <mergeCell ref="G23:I23"/>
    <mergeCell ref="E23:F23"/>
    <mergeCell ref="C22:D22"/>
    <mergeCell ref="E22:F22"/>
    <mergeCell ref="A20:I20"/>
    <mergeCell ref="G21:I21"/>
    <mergeCell ref="C21:D21"/>
    <mergeCell ref="E21:F21"/>
    <mergeCell ref="E19:H19"/>
    <mergeCell ref="B18:C18"/>
    <mergeCell ref="B19:C19"/>
    <mergeCell ref="A1:G1"/>
    <mergeCell ref="A2:I2"/>
    <mergeCell ref="A3:I3"/>
    <mergeCell ref="A4:I4"/>
    <mergeCell ref="B5:C5"/>
    <mergeCell ref="D5:I5"/>
    <mergeCell ref="B6:C6"/>
    <mergeCell ref="D6:I6"/>
    <mergeCell ref="B9:C9"/>
    <mergeCell ref="D9:I9"/>
    <mergeCell ref="B13:C13"/>
    <mergeCell ref="F13:I13"/>
    <mergeCell ref="D13:E13"/>
    <mergeCell ref="A12:I12"/>
    <mergeCell ref="B10:C10"/>
    <mergeCell ref="D10:I10"/>
    <mergeCell ref="B11:C11"/>
    <mergeCell ref="B7:C7"/>
    <mergeCell ref="D7:I7"/>
    <mergeCell ref="A8:I8"/>
  </mergeCells>
  <phoneticPr fontId="9" type="noConversion"/>
  <pageMargins left="1.03" right="0.2" top="0.24" bottom="1" header="0.15" footer="0.5"/>
  <pageSetup paperSize="9" orientation="portrait" horizontalDpi="4294967295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view="pageBreakPreview" topLeftCell="A22" zoomScaleNormal="100" zoomScaleSheetLayoutView="100" workbookViewId="0">
      <selection activeCell="K56" sqref="K56:L56"/>
    </sheetView>
  </sheetViews>
  <sheetFormatPr defaultRowHeight="12.75"/>
  <cols>
    <col min="1" max="1" width="11.28515625" customWidth="1"/>
    <col min="2" max="2" width="12.42578125" customWidth="1"/>
    <col min="3" max="7" width="12.42578125" hidden="1" customWidth="1"/>
    <col min="8" max="8" width="4.140625" customWidth="1"/>
    <col min="9" max="9" width="15.5703125" customWidth="1"/>
    <col min="10" max="10" width="12.5703125" customWidth="1"/>
    <col min="11" max="11" width="8.42578125" customWidth="1"/>
    <col min="12" max="12" width="10.42578125" customWidth="1"/>
    <col min="13" max="13" width="3" customWidth="1"/>
    <col min="15" max="15" width="10.85546875" customWidth="1"/>
  </cols>
  <sheetData>
    <row r="1" spans="1:15" ht="18.75" customHeight="1" thickTop="1" thickBot="1">
      <c r="A1" s="277"/>
      <c r="B1" s="277"/>
      <c r="C1" s="277"/>
      <c r="D1" s="277"/>
      <c r="E1" s="277"/>
      <c r="F1" s="277"/>
      <c r="G1" s="277"/>
      <c r="H1" s="277"/>
      <c r="I1" s="277"/>
      <c r="J1" s="277"/>
      <c r="N1" s="6" t="s">
        <v>50</v>
      </c>
      <c r="O1" s="13">
        <v>5</v>
      </c>
    </row>
    <row r="2" spans="1:15" ht="19.5" thickTop="1">
      <c r="A2" s="204" t="s">
        <v>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311"/>
    </row>
    <row r="3" spans="1:15" ht="19.5" thickBot="1">
      <c r="A3" s="207" t="s">
        <v>81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312"/>
    </row>
    <row r="4" spans="1:15" ht="18" customHeight="1" thickTop="1">
      <c r="A4" s="290" t="s">
        <v>82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149"/>
    </row>
    <row r="5" spans="1:15" ht="18.75" customHeight="1">
      <c r="A5" s="313" t="s">
        <v>83</v>
      </c>
      <c r="B5" s="314"/>
      <c r="C5" s="314"/>
      <c r="D5" s="314"/>
      <c r="E5" s="314"/>
      <c r="F5" s="314"/>
      <c r="G5" s="314"/>
      <c r="H5" s="314"/>
      <c r="I5" s="314"/>
      <c r="J5" s="309" t="str">
        <f>'изм и расчеты'!B7</f>
        <v>:ЗУ1</v>
      </c>
      <c r="K5" s="309"/>
      <c r="L5" s="309"/>
      <c r="M5" s="309"/>
      <c r="N5" s="309"/>
      <c r="O5" s="310"/>
    </row>
    <row r="6" spans="1:15" ht="18" customHeight="1">
      <c r="A6" s="307" t="s">
        <v>56</v>
      </c>
      <c r="B6" s="285" t="s">
        <v>25</v>
      </c>
      <c r="C6" s="285"/>
      <c r="D6" s="285"/>
      <c r="E6" s="285"/>
      <c r="F6" s="285"/>
      <c r="G6" s="285"/>
      <c r="H6" s="238"/>
      <c r="I6" s="238"/>
      <c r="J6" s="319" t="s">
        <v>116</v>
      </c>
      <c r="K6" s="320"/>
      <c r="L6" s="320"/>
      <c r="M6" s="321"/>
      <c r="N6" s="315" t="s">
        <v>132</v>
      </c>
      <c r="O6" s="316"/>
    </row>
    <row r="7" spans="1:15" ht="14.25" customHeight="1">
      <c r="A7" s="308"/>
      <c r="B7" s="285" t="s">
        <v>26</v>
      </c>
      <c r="C7" s="285"/>
      <c r="D7" s="285"/>
      <c r="E7" s="285"/>
      <c r="F7" s="285"/>
      <c r="G7" s="285"/>
      <c r="H7" s="238"/>
      <c r="I7" s="36" t="s">
        <v>27</v>
      </c>
      <c r="J7" s="322"/>
      <c r="K7" s="323"/>
      <c r="L7" s="323"/>
      <c r="M7" s="324"/>
      <c r="N7" s="317"/>
      <c r="O7" s="318"/>
    </row>
    <row r="8" spans="1:15" s="7" customFormat="1">
      <c r="A8" s="44">
        <v>1</v>
      </c>
      <c r="B8" s="332">
        <v>2</v>
      </c>
      <c r="C8" s="332"/>
      <c r="D8" s="332"/>
      <c r="E8" s="332"/>
      <c r="F8" s="332"/>
      <c r="G8" s="332"/>
      <c r="H8" s="333"/>
      <c r="I8" s="45">
        <v>3</v>
      </c>
      <c r="J8" s="366">
        <v>4</v>
      </c>
      <c r="K8" s="117"/>
      <c r="L8" s="117"/>
      <c r="M8" s="118"/>
      <c r="N8" s="366">
        <v>5</v>
      </c>
      <c r="O8" s="367"/>
    </row>
    <row r="9" spans="1:15" ht="14.25">
      <c r="A9" s="46">
        <v>1</v>
      </c>
      <c r="B9" s="325" t="e">
        <f>VLOOKUP($A9,'Каталог коорд'!A6:G28,8,FALSE)</f>
        <v>#REF!</v>
      </c>
      <c r="C9" s="325"/>
      <c r="D9" s="325"/>
      <c r="E9" s="325"/>
      <c r="F9" s="325"/>
      <c r="G9" s="325"/>
      <c r="H9" s="326"/>
      <c r="I9" s="47" t="e">
        <f>VLOOKUP($A9,'Каталог коорд'!A6:G28,9,FALSE)</f>
        <v>#REF!</v>
      </c>
      <c r="J9" s="345">
        <v>0.1</v>
      </c>
      <c r="K9" s="179"/>
      <c r="L9" s="179"/>
      <c r="M9" s="346"/>
      <c r="N9" s="345" t="s">
        <v>74</v>
      </c>
      <c r="O9" s="180"/>
    </row>
    <row r="10" spans="1:15" ht="14.25">
      <c r="A10" s="46">
        <v>2</v>
      </c>
      <c r="B10" s="327" t="e">
        <f>VLOOKUP($A10,'Каталог коорд'!A7:G29,8,FALSE)</f>
        <v>#REF!</v>
      </c>
      <c r="C10" s="328"/>
      <c r="D10" s="328"/>
      <c r="E10" s="328"/>
      <c r="F10" s="328"/>
      <c r="G10" s="328"/>
      <c r="H10" s="329"/>
      <c r="I10" s="47" t="e">
        <f>VLOOKUP($A10,'Каталог коорд'!A7:G29,9,FALSE)</f>
        <v>#REF!</v>
      </c>
      <c r="J10" s="345">
        <v>0.2</v>
      </c>
      <c r="K10" s="179" t="s">
        <v>74</v>
      </c>
      <c r="L10" s="179"/>
      <c r="M10" s="346"/>
      <c r="N10" s="345" t="s">
        <v>74</v>
      </c>
      <c r="O10" s="180"/>
    </row>
    <row r="11" spans="1:15" ht="14.25">
      <c r="A11" s="46">
        <v>3</v>
      </c>
      <c r="B11" s="327" t="e">
        <f>VLOOKUP($A11,'Каталог коорд'!A7:G29,8,FALSE)</f>
        <v>#REF!</v>
      </c>
      <c r="C11" s="328"/>
      <c r="D11" s="328"/>
      <c r="E11" s="328"/>
      <c r="F11" s="328"/>
      <c r="G11" s="328"/>
      <c r="H11" s="329"/>
      <c r="I11" s="47" t="e">
        <f>VLOOKUP($A11,'Каталог коорд'!A7:G29,9,FALSE)</f>
        <v>#REF!</v>
      </c>
      <c r="J11" s="345">
        <v>0.2</v>
      </c>
      <c r="K11" s="179" t="s">
        <v>74</v>
      </c>
      <c r="L11" s="179"/>
      <c r="M11" s="346"/>
      <c r="N11" s="345" t="s">
        <v>74</v>
      </c>
      <c r="O11" s="180"/>
    </row>
    <row r="12" spans="1:15" ht="14.25">
      <c r="A12" s="46">
        <v>4</v>
      </c>
      <c r="B12" s="327" t="e">
        <f>VLOOKUP($A12,'Каталог коорд'!A8:G29,8,FALSE)</f>
        <v>#REF!</v>
      </c>
      <c r="C12" s="328"/>
      <c r="D12" s="328"/>
      <c r="E12" s="328"/>
      <c r="F12" s="328"/>
      <c r="G12" s="328"/>
      <c r="H12" s="329"/>
      <c r="I12" s="47" t="e">
        <f>VLOOKUP($A12,'Каталог коорд'!A8:G29,9,FALSE)</f>
        <v>#REF!</v>
      </c>
      <c r="J12" s="345">
        <v>0.2</v>
      </c>
      <c r="K12" s="179" t="s">
        <v>74</v>
      </c>
      <c r="L12" s="179"/>
      <c r="M12" s="346"/>
      <c r="N12" s="345" t="s">
        <v>74</v>
      </c>
      <c r="O12" s="180"/>
    </row>
    <row r="13" spans="1:15" ht="14.25">
      <c r="A13" s="46">
        <v>5</v>
      </c>
      <c r="B13" s="327" t="e">
        <f>VLOOKUP($A13,'Каталог коорд'!A9:G29,8,FALSE)</f>
        <v>#REF!</v>
      </c>
      <c r="C13" s="328"/>
      <c r="D13" s="328"/>
      <c r="E13" s="328"/>
      <c r="F13" s="328"/>
      <c r="G13" s="328"/>
      <c r="H13" s="329"/>
      <c r="I13" s="47" t="e">
        <f>VLOOKUP($A13,'Каталог коорд'!A9:G29,9,FALSE)</f>
        <v>#REF!</v>
      </c>
      <c r="J13" s="345">
        <v>0.2</v>
      </c>
      <c r="K13" s="179" t="s">
        <v>74</v>
      </c>
      <c r="L13" s="179"/>
      <c r="M13" s="346"/>
      <c r="N13" s="345" t="s">
        <v>74</v>
      </c>
      <c r="O13" s="180"/>
    </row>
    <row r="14" spans="1:15" ht="14.25">
      <c r="A14" s="46">
        <v>6</v>
      </c>
      <c r="B14" s="327" t="e">
        <f>VLOOKUP($A14,'Каталог коорд'!A9:G29,8,FALSE)</f>
        <v>#REF!</v>
      </c>
      <c r="C14" s="328"/>
      <c r="D14" s="328"/>
      <c r="E14" s="328"/>
      <c r="F14" s="328"/>
      <c r="G14" s="328"/>
      <c r="H14" s="329"/>
      <c r="I14" s="47" t="e">
        <f>VLOOKUP($A14,'Каталог коорд'!A9:G29,9,FALSE)</f>
        <v>#REF!</v>
      </c>
      <c r="J14" s="345">
        <v>0.2</v>
      </c>
      <c r="K14" s="179" t="s">
        <v>74</v>
      </c>
      <c r="L14" s="179"/>
      <c r="M14" s="346"/>
      <c r="N14" s="345" t="s">
        <v>74</v>
      </c>
      <c r="O14" s="179"/>
    </row>
    <row r="15" spans="1:15" ht="15" thickBot="1">
      <c r="A15" s="46">
        <v>1</v>
      </c>
      <c r="B15" s="327" t="e">
        <f>VLOOKUP($A15,'Каталог коорд'!A10:G29,8,FALSE)</f>
        <v>#REF!</v>
      </c>
      <c r="C15" s="328"/>
      <c r="D15" s="328"/>
      <c r="E15" s="328"/>
      <c r="F15" s="328"/>
      <c r="G15" s="328"/>
      <c r="H15" s="329"/>
      <c r="I15" s="47" t="e">
        <f>VLOOKUP($A15,'Каталог коорд'!A10:G29,9,FALSE)</f>
        <v>#REF!</v>
      </c>
      <c r="J15" s="345">
        <v>0.2</v>
      </c>
      <c r="K15" s="179" t="s">
        <v>74</v>
      </c>
      <c r="L15" s="179"/>
      <c r="M15" s="346"/>
      <c r="N15" s="345" t="s">
        <v>74</v>
      </c>
      <c r="O15" s="179"/>
    </row>
    <row r="16" spans="1:15" ht="14.25" hidden="1">
      <c r="A16" s="82">
        <v>8</v>
      </c>
      <c r="B16" s="325" t="e">
        <f>VLOOKUP($A16,'Каталог коорд'!$A$6:$E29,6,FALSE)</f>
        <v>#N/A</v>
      </c>
      <c r="C16" s="325"/>
      <c r="D16" s="325"/>
      <c r="E16" s="325"/>
      <c r="F16" s="325"/>
      <c r="G16" s="325"/>
      <c r="H16" s="326"/>
      <c r="I16" s="47" t="e">
        <f>VLOOKUP($A16,'Каталог коорд'!$A$6:$E29,7,FALSE)</f>
        <v>#N/A</v>
      </c>
      <c r="J16" s="48">
        <v>0.2</v>
      </c>
      <c r="K16" s="334" t="s">
        <v>74</v>
      </c>
      <c r="L16" s="334"/>
      <c r="M16" s="334"/>
      <c r="N16" s="334"/>
      <c r="O16" s="335"/>
    </row>
    <row r="17" spans="1:15" ht="14.25" hidden="1">
      <c r="A17" s="82">
        <v>9</v>
      </c>
      <c r="B17" s="325" t="e">
        <f>VLOOKUP($A17,'Каталог коорд'!$A$6:$E29,6,FALSE)</f>
        <v>#N/A</v>
      </c>
      <c r="C17" s="325"/>
      <c r="D17" s="325"/>
      <c r="E17" s="325"/>
      <c r="F17" s="325"/>
      <c r="G17" s="325"/>
      <c r="H17" s="326"/>
      <c r="I17" s="47" t="e">
        <f>VLOOKUP($A17,'Каталог коорд'!$A$6:$E29,7,FALSE)</f>
        <v>#N/A</v>
      </c>
      <c r="J17" s="48">
        <v>0.2</v>
      </c>
      <c r="K17" s="334" t="s">
        <v>74</v>
      </c>
      <c r="L17" s="334"/>
      <c r="M17" s="334"/>
      <c r="N17" s="334"/>
      <c r="O17" s="335"/>
    </row>
    <row r="18" spans="1:15" ht="15" hidden="1" thickBot="1">
      <c r="A18" s="82"/>
      <c r="B18" s="325" t="e">
        <f>VLOOKUP($A18,'Каталог коорд'!$A$6:$E29,6,FALSE)</f>
        <v>#N/A</v>
      </c>
      <c r="C18" s="325"/>
      <c r="D18" s="325"/>
      <c r="E18" s="325"/>
      <c r="F18" s="325"/>
      <c r="G18" s="325"/>
      <c r="H18" s="326"/>
      <c r="I18" s="47" t="e">
        <f>VLOOKUP($A18,'Каталог коорд'!$A$6:$E29,7,FALSE)</f>
        <v>#N/A</v>
      </c>
      <c r="J18" s="48">
        <v>0.2</v>
      </c>
      <c r="K18" s="334" t="s">
        <v>74</v>
      </c>
      <c r="L18" s="334"/>
      <c r="M18" s="334"/>
      <c r="N18" s="334"/>
      <c r="O18" s="335"/>
    </row>
    <row r="19" spans="1:15" ht="18.75" customHeight="1" thickTop="1">
      <c r="A19" s="290" t="s">
        <v>84</v>
      </c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149"/>
    </row>
    <row r="20" spans="1:15" ht="23.25" customHeight="1">
      <c r="A20" s="313" t="s">
        <v>83</v>
      </c>
      <c r="B20" s="314"/>
      <c r="C20" s="314"/>
      <c r="D20" s="314"/>
      <c r="E20" s="314"/>
      <c r="F20" s="314"/>
      <c r="G20" s="314"/>
      <c r="H20" s="314"/>
      <c r="I20" s="314"/>
      <c r="J20" s="309" t="str">
        <f>J5</f>
        <v>:ЗУ1</v>
      </c>
      <c r="K20" s="309"/>
      <c r="L20" s="309"/>
      <c r="M20" s="309"/>
      <c r="N20" s="309"/>
      <c r="O20" s="310"/>
    </row>
    <row r="21" spans="1:15" ht="15.75" customHeight="1">
      <c r="A21" s="262" t="s">
        <v>51</v>
      </c>
      <c r="B21" s="229"/>
      <c r="C21" s="36"/>
      <c r="D21" s="36"/>
      <c r="E21" s="36"/>
      <c r="F21" s="36"/>
      <c r="G21" s="36"/>
      <c r="H21" s="285" t="s">
        <v>52</v>
      </c>
      <c r="I21" s="238"/>
      <c r="J21" s="285" t="s">
        <v>53</v>
      </c>
      <c r="K21" s="238"/>
      <c r="L21" s="238"/>
      <c r="M21" s="238"/>
      <c r="N21" s="238"/>
      <c r="O21" s="239"/>
    </row>
    <row r="22" spans="1:15" ht="15">
      <c r="A22" s="39" t="s">
        <v>54</v>
      </c>
      <c r="B22" s="36" t="s">
        <v>55</v>
      </c>
      <c r="C22" s="36"/>
      <c r="D22" s="36"/>
      <c r="E22" s="36"/>
      <c r="F22" s="36"/>
      <c r="G22" s="36"/>
      <c r="H22" s="238"/>
      <c r="I22" s="238"/>
      <c r="J22" s="238"/>
      <c r="K22" s="238"/>
      <c r="L22" s="238"/>
      <c r="M22" s="238"/>
      <c r="N22" s="238"/>
      <c r="O22" s="239"/>
    </row>
    <row r="23" spans="1:15" s="7" customFormat="1">
      <c r="A23" s="44">
        <v>1</v>
      </c>
      <c r="B23" s="45">
        <v>2</v>
      </c>
      <c r="C23" s="45"/>
      <c r="D23" s="45"/>
      <c r="E23" s="45"/>
      <c r="F23" s="45"/>
      <c r="G23" s="45"/>
      <c r="H23" s="332">
        <v>3</v>
      </c>
      <c r="I23" s="333"/>
      <c r="J23" s="332">
        <v>4</v>
      </c>
      <c r="K23" s="333"/>
      <c r="L23" s="333"/>
      <c r="M23" s="333"/>
      <c r="N23" s="333"/>
      <c r="O23" s="347"/>
    </row>
    <row r="24" spans="1:15" ht="14.25">
      <c r="A24" s="86">
        <f t="shared" ref="A24:A32" si="0">A9</f>
        <v>1</v>
      </c>
      <c r="B24" s="50">
        <f t="shared" ref="B24:B29" si="1">A10</f>
        <v>2</v>
      </c>
      <c r="C24" s="47" t="e">
        <f>VLOOKUP($A24,$A$9:$I$18,2,FALSE)</f>
        <v>#REF!</v>
      </c>
      <c r="D24" s="47" t="e">
        <f>VLOOKUP($A24,$A$9:$I$18,9,FALSE)</f>
        <v>#REF!</v>
      </c>
      <c r="E24" s="47" t="e">
        <f>VLOOKUP($B24,$A$9:$I$18,2,FALSE)</f>
        <v>#REF!</v>
      </c>
      <c r="F24" s="47" t="e">
        <f>VLOOKUP($B24,$A$9:$I$18,9,FALSE)</f>
        <v>#REF!</v>
      </c>
      <c r="G24" s="47" t="e">
        <f t="shared" ref="G24:G29" si="2">IF(OR(A24=0,B24=0),"",IF(AND((D24-F24)&lt;0,(C24-E24)&lt;0),ATAN((D24-F24)/(C24-E24))*180/PI(),IF((C24-E24)&gt;0,180+ATAN((D24-F24)/(C24-E24))*180/PI(),360+ATAN((D24-F24)/(C24-E24))*180/PI())))</f>
        <v>#REF!</v>
      </c>
      <c r="H24" s="325" t="e">
        <f t="shared" ref="H24:H29" si="3">IF(OR(A24=0,B24=0),"",SQRT(POWER(C24-E24,2)+POWER(D24-F24,2)))</f>
        <v>#REF!</v>
      </c>
      <c r="I24" s="325"/>
      <c r="J24" s="285" t="s">
        <v>74</v>
      </c>
      <c r="K24" s="238"/>
      <c r="L24" s="238"/>
      <c r="M24" s="238"/>
      <c r="N24" s="238"/>
      <c r="O24" s="239"/>
    </row>
    <row r="25" spans="1:15" ht="14.25">
      <c r="A25" s="46">
        <f t="shared" si="0"/>
        <v>2</v>
      </c>
      <c r="B25" s="50">
        <f t="shared" si="1"/>
        <v>3</v>
      </c>
      <c r="C25" s="47" t="e">
        <f t="shared" ref="C25:C32" si="4">VLOOKUP($A25,$A$9:$I$18,2,FALSE)</f>
        <v>#REF!</v>
      </c>
      <c r="D25" s="47" t="e">
        <f t="shared" ref="D25:D32" si="5">VLOOKUP($A25,$A$9:$I$18,9,FALSE)</f>
        <v>#REF!</v>
      </c>
      <c r="E25" s="47" t="e">
        <f t="shared" ref="E25:E32" si="6">VLOOKUP($B25,$A$9:$I$18,2,FALSE)</f>
        <v>#REF!</v>
      </c>
      <c r="F25" s="47" t="e">
        <f t="shared" ref="F25:F32" si="7">VLOOKUP($B25,$A$9:$I$18,9,FALSE)</f>
        <v>#REF!</v>
      </c>
      <c r="G25" s="47" t="e">
        <f t="shared" si="2"/>
        <v>#REF!</v>
      </c>
      <c r="H25" s="325" t="e">
        <f t="shared" si="3"/>
        <v>#REF!</v>
      </c>
      <c r="I25" s="325"/>
      <c r="J25" s="285" t="s">
        <v>74</v>
      </c>
      <c r="K25" s="238"/>
      <c r="L25" s="238"/>
      <c r="M25" s="238"/>
      <c r="N25" s="238"/>
      <c r="O25" s="239"/>
    </row>
    <row r="26" spans="1:15" ht="14.25">
      <c r="A26" s="46">
        <f t="shared" si="0"/>
        <v>3</v>
      </c>
      <c r="B26" s="50">
        <f t="shared" si="1"/>
        <v>4</v>
      </c>
      <c r="C26" s="47" t="e">
        <f t="shared" si="4"/>
        <v>#REF!</v>
      </c>
      <c r="D26" s="47" t="e">
        <f t="shared" si="5"/>
        <v>#REF!</v>
      </c>
      <c r="E26" s="47" t="e">
        <f t="shared" si="6"/>
        <v>#REF!</v>
      </c>
      <c r="F26" s="47" t="e">
        <f t="shared" si="7"/>
        <v>#REF!</v>
      </c>
      <c r="G26" s="47" t="e">
        <f t="shared" si="2"/>
        <v>#REF!</v>
      </c>
      <c r="H26" s="325" t="e">
        <f t="shared" si="3"/>
        <v>#REF!</v>
      </c>
      <c r="I26" s="325"/>
      <c r="J26" s="285" t="s">
        <v>74</v>
      </c>
      <c r="K26" s="238"/>
      <c r="L26" s="238"/>
      <c r="M26" s="238"/>
      <c r="N26" s="238"/>
      <c r="O26" s="239"/>
    </row>
    <row r="27" spans="1:15" ht="14.25">
      <c r="A27" s="46">
        <f t="shared" si="0"/>
        <v>4</v>
      </c>
      <c r="B27" s="50">
        <f t="shared" si="1"/>
        <v>5</v>
      </c>
      <c r="C27" s="47" t="e">
        <f t="shared" si="4"/>
        <v>#REF!</v>
      </c>
      <c r="D27" s="47" t="e">
        <f t="shared" si="5"/>
        <v>#REF!</v>
      </c>
      <c r="E27" s="47" t="e">
        <f t="shared" si="6"/>
        <v>#REF!</v>
      </c>
      <c r="F27" s="47" t="e">
        <f t="shared" si="7"/>
        <v>#REF!</v>
      </c>
      <c r="G27" s="47" t="e">
        <f t="shared" si="2"/>
        <v>#REF!</v>
      </c>
      <c r="H27" s="325" t="e">
        <f t="shared" si="3"/>
        <v>#REF!</v>
      </c>
      <c r="I27" s="325"/>
      <c r="J27" s="285" t="s">
        <v>74</v>
      </c>
      <c r="K27" s="238"/>
      <c r="L27" s="238"/>
      <c r="M27" s="238"/>
      <c r="N27" s="238"/>
      <c r="O27" s="239"/>
    </row>
    <row r="28" spans="1:15" ht="14.25">
      <c r="A28" s="46">
        <f t="shared" si="0"/>
        <v>5</v>
      </c>
      <c r="B28" s="50">
        <f t="shared" si="1"/>
        <v>6</v>
      </c>
      <c r="C28" s="47" t="e">
        <f t="shared" si="4"/>
        <v>#REF!</v>
      </c>
      <c r="D28" s="47" t="e">
        <f t="shared" si="5"/>
        <v>#REF!</v>
      </c>
      <c r="E28" s="47" t="e">
        <f t="shared" si="6"/>
        <v>#REF!</v>
      </c>
      <c r="F28" s="47" t="e">
        <f t="shared" si="7"/>
        <v>#REF!</v>
      </c>
      <c r="G28" s="47" t="e">
        <f t="shared" si="2"/>
        <v>#REF!</v>
      </c>
      <c r="H28" s="325" t="e">
        <f t="shared" si="3"/>
        <v>#REF!</v>
      </c>
      <c r="I28" s="325"/>
      <c r="J28" s="285" t="s">
        <v>74</v>
      </c>
      <c r="K28" s="238"/>
      <c r="L28" s="238"/>
      <c r="M28" s="238"/>
      <c r="N28" s="238"/>
      <c r="O28" s="239"/>
    </row>
    <row r="29" spans="1:15" ht="15" thickBot="1">
      <c r="A29" s="46">
        <f t="shared" si="0"/>
        <v>6</v>
      </c>
      <c r="B29" s="50">
        <f t="shared" si="1"/>
        <v>1</v>
      </c>
      <c r="C29" s="47" t="e">
        <f t="shared" si="4"/>
        <v>#REF!</v>
      </c>
      <c r="D29" s="47" t="e">
        <f t="shared" si="5"/>
        <v>#REF!</v>
      </c>
      <c r="E29" s="47" t="e">
        <f t="shared" si="6"/>
        <v>#REF!</v>
      </c>
      <c r="F29" s="47" t="e">
        <f t="shared" si="7"/>
        <v>#REF!</v>
      </c>
      <c r="G29" s="47" t="e">
        <f t="shared" si="2"/>
        <v>#REF!</v>
      </c>
      <c r="H29" s="325" t="e">
        <f t="shared" si="3"/>
        <v>#REF!</v>
      </c>
      <c r="I29" s="325"/>
      <c r="J29" s="285" t="s">
        <v>74</v>
      </c>
      <c r="K29" s="238"/>
      <c r="L29" s="238"/>
      <c r="M29" s="238"/>
      <c r="N29" s="238"/>
      <c r="O29" s="239"/>
    </row>
    <row r="30" spans="1:15" ht="14.25" hidden="1">
      <c r="A30" s="46">
        <f t="shared" si="0"/>
        <v>1</v>
      </c>
      <c r="B30" s="50">
        <f>A16</f>
        <v>8</v>
      </c>
      <c r="C30" s="47" t="e">
        <f t="shared" si="4"/>
        <v>#REF!</v>
      </c>
      <c r="D30" s="47" t="e">
        <f t="shared" si="5"/>
        <v>#REF!</v>
      </c>
      <c r="E30" s="47" t="e">
        <f t="shared" si="6"/>
        <v>#N/A</v>
      </c>
      <c r="F30" s="47" t="e">
        <f t="shared" si="7"/>
        <v>#N/A</v>
      </c>
      <c r="G30" s="47" t="e">
        <f>IF(OR(A30=0,B30=0),"",IF(AND((D30-F30)&lt;0,(C30-E30)&lt;0),ATAN((D30-F30)/(C30-E30))*180/PI(),IF((C30-E30)&gt;0,180+ATAN((D30-F30)/(C30-E30))*180/PI(),360+ATAN((D30-F30)/(C30-E30))*180/PI())))</f>
        <v>#REF!</v>
      </c>
      <c r="H30" s="325" t="e">
        <f>IF(OR(A30=0,B30=0),"",SQRT(POWER(C30-E30,2)+POWER(D30-F30,2)))</f>
        <v>#REF!</v>
      </c>
      <c r="I30" s="325"/>
      <c r="J30" s="285" t="s">
        <v>74</v>
      </c>
      <c r="K30" s="238"/>
      <c r="L30" s="238"/>
      <c r="M30" s="238"/>
      <c r="N30" s="238"/>
      <c r="O30" s="239"/>
    </row>
    <row r="31" spans="1:15" ht="14.25" hidden="1">
      <c r="A31" s="46">
        <f t="shared" si="0"/>
        <v>8</v>
      </c>
      <c r="B31" s="50">
        <f>A17</f>
        <v>9</v>
      </c>
      <c r="C31" s="47" t="e">
        <f t="shared" si="4"/>
        <v>#N/A</v>
      </c>
      <c r="D31" s="47" t="e">
        <f t="shared" si="5"/>
        <v>#N/A</v>
      </c>
      <c r="E31" s="47" t="e">
        <f t="shared" si="6"/>
        <v>#N/A</v>
      </c>
      <c r="F31" s="47" t="e">
        <f t="shared" si="7"/>
        <v>#N/A</v>
      </c>
      <c r="G31" s="47" t="e">
        <f>IF(OR(A31=0,B31=0),"",IF(AND((D31-F31)&lt;0,(C31-E31)&lt;0),ATAN((D31-F31)/(C31-E31))*180/PI(),IF((C31-E31)&gt;0,180+ATAN((D31-F31)/(C31-E31))*180/PI(),360+ATAN((D31-F31)/(C31-E31))*180/PI())))</f>
        <v>#N/A</v>
      </c>
      <c r="H31" s="325" t="e">
        <f>IF(OR(A31=0,B31=0),"",SQRT(POWER(C31-E31,2)+POWER(D31-F31,2)))</f>
        <v>#N/A</v>
      </c>
      <c r="I31" s="325"/>
      <c r="J31" s="285" t="s">
        <v>74</v>
      </c>
      <c r="K31" s="238"/>
      <c r="L31" s="238"/>
      <c r="M31" s="238"/>
      <c r="N31" s="238"/>
      <c r="O31" s="239"/>
    </row>
    <row r="32" spans="1:15" ht="15" hidden="1" thickBot="1">
      <c r="A32" s="46">
        <f t="shared" si="0"/>
        <v>9</v>
      </c>
      <c r="B32" s="50">
        <f>A18</f>
        <v>0</v>
      </c>
      <c r="C32" s="47" t="e">
        <f t="shared" si="4"/>
        <v>#N/A</v>
      </c>
      <c r="D32" s="47" t="e">
        <f t="shared" si="5"/>
        <v>#N/A</v>
      </c>
      <c r="E32" s="47" t="e">
        <f t="shared" si="6"/>
        <v>#N/A</v>
      </c>
      <c r="F32" s="47" t="e">
        <f t="shared" si="7"/>
        <v>#N/A</v>
      </c>
      <c r="G32" s="47" t="str">
        <f>IF(OR(A32=0,B32=0),"",IF(AND((D32-F32)&lt;0,(C32-E32)&lt;0),ATAN((D32-F32)/(C32-E32))*180/PI(),IF((C32-E32)&gt;0,180+ATAN((D32-F32)/(C32-E32))*180/PI(),360+ATAN((D32-F32)/(C32-E32))*180/PI())))</f>
        <v/>
      </c>
      <c r="H32" s="325" t="str">
        <f>IF(OR(A32=0,B32=0),"",SQRT(POWER(C32-E32,2)+POWER(D32-F32,2)))</f>
        <v/>
      </c>
      <c r="I32" s="325"/>
      <c r="J32" s="285" t="s">
        <v>74</v>
      </c>
      <c r="K32" s="238"/>
      <c r="L32" s="238"/>
      <c r="M32" s="238"/>
      <c r="N32" s="238"/>
      <c r="O32" s="239"/>
    </row>
    <row r="33" spans="1:15" ht="15.75" customHeight="1" thickTop="1">
      <c r="A33" s="290" t="s">
        <v>85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149"/>
    </row>
    <row r="34" spans="1:15" ht="20.25" customHeight="1">
      <c r="A34" s="313" t="s">
        <v>83</v>
      </c>
      <c r="B34" s="314"/>
      <c r="C34" s="314"/>
      <c r="D34" s="314"/>
      <c r="E34" s="314"/>
      <c r="F34" s="314"/>
      <c r="G34" s="314"/>
      <c r="H34" s="314"/>
      <c r="I34" s="314"/>
      <c r="J34" s="309" t="str">
        <f>J20</f>
        <v>:ЗУ1</v>
      </c>
      <c r="K34" s="309"/>
      <c r="L34" s="309"/>
      <c r="M34" s="309"/>
      <c r="N34" s="309"/>
      <c r="O34" s="310"/>
    </row>
    <row r="35" spans="1:15" ht="13.5">
      <c r="A35" s="344" t="s">
        <v>44</v>
      </c>
      <c r="B35" s="216"/>
      <c r="C35" s="216"/>
      <c r="D35" s="216"/>
      <c r="E35" s="216"/>
      <c r="F35" s="216"/>
      <c r="G35" s="216"/>
      <c r="H35" s="216"/>
      <c r="I35" s="216"/>
      <c r="J35" s="215" t="s">
        <v>74</v>
      </c>
      <c r="K35" s="117"/>
      <c r="L35" s="117"/>
      <c r="M35" s="117"/>
      <c r="N35" s="117"/>
      <c r="O35" s="348"/>
    </row>
    <row r="36" spans="1:15" ht="15.75" customHeight="1">
      <c r="A36" s="307" t="s">
        <v>56</v>
      </c>
      <c r="B36" s="285" t="s">
        <v>25</v>
      </c>
      <c r="C36" s="285"/>
      <c r="D36" s="285"/>
      <c r="E36" s="285"/>
      <c r="F36" s="285"/>
      <c r="G36" s="285"/>
      <c r="H36" s="238"/>
      <c r="I36" s="238"/>
      <c r="J36" s="368" t="s">
        <v>86</v>
      </c>
      <c r="K36" s="120"/>
      <c r="L36" s="120"/>
      <c r="M36" s="369"/>
      <c r="N36" s="315" t="s">
        <v>63</v>
      </c>
      <c r="O36" s="316"/>
    </row>
    <row r="37" spans="1:15" ht="17.25" customHeight="1">
      <c r="A37" s="308"/>
      <c r="B37" s="285" t="s">
        <v>26</v>
      </c>
      <c r="C37" s="285"/>
      <c r="D37" s="285"/>
      <c r="E37" s="285"/>
      <c r="F37" s="285"/>
      <c r="G37" s="285"/>
      <c r="H37" s="238"/>
      <c r="I37" s="36" t="s">
        <v>27</v>
      </c>
      <c r="J37" s="370"/>
      <c r="K37" s="371"/>
      <c r="L37" s="371"/>
      <c r="M37" s="372"/>
      <c r="N37" s="317"/>
      <c r="O37" s="318"/>
    </row>
    <row r="38" spans="1:15" ht="15">
      <c r="A38" s="15">
        <v>1</v>
      </c>
      <c r="B38" s="144">
        <v>2</v>
      </c>
      <c r="C38" s="144"/>
      <c r="D38" s="144"/>
      <c r="E38" s="144"/>
      <c r="F38" s="144"/>
      <c r="G38" s="144"/>
      <c r="H38" s="172"/>
      <c r="I38" s="16">
        <v>3</v>
      </c>
      <c r="J38" s="214">
        <v>4</v>
      </c>
      <c r="K38" s="216"/>
      <c r="L38" s="216"/>
      <c r="M38" s="217"/>
      <c r="N38" s="361">
        <v>5</v>
      </c>
      <c r="O38" s="180"/>
    </row>
    <row r="39" spans="1:15" ht="15.75" thickBot="1">
      <c r="A39" s="49" t="s">
        <v>74</v>
      </c>
      <c r="B39" s="362" t="s">
        <v>74</v>
      </c>
      <c r="C39" s="362"/>
      <c r="D39" s="362"/>
      <c r="E39" s="362"/>
      <c r="F39" s="362"/>
      <c r="G39" s="362"/>
      <c r="H39" s="363"/>
      <c r="I39" s="85" t="s">
        <v>74</v>
      </c>
      <c r="J39" s="359" t="s">
        <v>74</v>
      </c>
      <c r="K39" s="360"/>
      <c r="L39" s="360"/>
      <c r="M39" s="360"/>
      <c r="N39" s="271" t="s">
        <v>74</v>
      </c>
      <c r="O39" s="353"/>
    </row>
    <row r="40" spans="1:15" ht="15.75" hidden="1" thickBot="1">
      <c r="A40" s="82">
        <v>8</v>
      </c>
      <c r="B40" s="338" t="e">
        <f>VLOOKUP(A40,'Каталог коорд'!A7:G31,8,FALSE)</f>
        <v>#N/A</v>
      </c>
      <c r="C40" s="338"/>
      <c r="D40" s="338"/>
      <c r="E40" s="338"/>
      <c r="F40" s="338"/>
      <c r="G40" s="338"/>
      <c r="H40" s="339"/>
      <c r="I40" s="87" t="e">
        <f>VLOOKUP($A10,'Каталог коорд'!A7:G29,9,FALSE)</f>
        <v>#REF!</v>
      </c>
      <c r="J40" s="340">
        <v>0.2</v>
      </c>
      <c r="K40" s="341"/>
      <c r="L40" s="341"/>
      <c r="M40" s="341"/>
      <c r="N40" s="342"/>
      <c r="O40" s="343"/>
    </row>
    <row r="41" spans="1:15" ht="15" hidden="1">
      <c r="A41" s="46">
        <v>9</v>
      </c>
      <c r="B41" s="325" t="e">
        <f>VLOOKUP(A41,'Каталог коорд'!A7:G31,8,FALSE)</f>
        <v>#N/A</v>
      </c>
      <c r="C41" s="325"/>
      <c r="D41" s="325"/>
      <c r="E41" s="325"/>
      <c r="F41" s="325"/>
      <c r="G41" s="325"/>
      <c r="H41" s="326"/>
      <c r="I41" s="47" t="e">
        <f>VLOOKUP($A11,'Каталог коорд'!A7:G30,9,FALSE)</f>
        <v>#REF!</v>
      </c>
      <c r="J41" s="336">
        <v>0.2</v>
      </c>
      <c r="K41" s="337"/>
      <c r="L41" s="337"/>
      <c r="M41" s="337"/>
      <c r="N41" s="238"/>
      <c r="O41" s="239"/>
    </row>
    <row r="42" spans="1:15" ht="15" hidden="1">
      <c r="A42" s="46">
        <v>4</v>
      </c>
      <c r="B42" s="325" t="e">
        <f>VLOOKUP(A42,'Каталог коорд'!A8:G33,8,FALSE)</f>
        <v>#REF!</v>
      </c>
      <c r="C42" s="325"/>
      <c r="D42" s="325"/>
      <c r="E42" s="325"/>
      <c r="F42" s="325"/>
      <c r="G42" s="325"/>
      <c r="H42" s="326"/>
      <c r="I42" s="47" t="e">
        <f>VLOOKUP($A12,'Каталог коорд'!A8:G31,9,FALSE)</f>
        <v>#REF!</v>
      </c>
      <c r="J42" s="336">
        <v>0.2</v>
      </c>
      <c r="K42" s="337"/>
      <c r="L42" s="337"/>
      <c r="M42" s="337"/>
      <c r="N42" s="238"/>
      <c r="O42" s="239"/>
    </row>
    <row r="43" spans="1:15" ht="15" hidden="1">
      <c r="A43" s="46">
        <v>10</v>
      </c>
      <c r="B43" s="325" t="e">
        <f>VLOOKUP(A43,'Каталог коорд'!A9:G34,8,FALSE)</f>
        <v>#N/A</v>
      </c>
      <c r="C43" s="325"/>
      <c r="D43" s="325"/>
      <c r="E43" s="325"/>
      <c r="F43" s="325"/>
      <c r="G43" s="325"/>
      <c r="H43" s="326"/>
      <c r="I43" s="47" t="e">
        <f>VLOOKUP($A13,'Каталог коорд'!A9:G31,9,FALSE)</f>
        <v>#REF!</v>
      </c>
      <c r="J43" s="336">
        <v>0.2</v>
      </c>
      <c r="K43" s="337"/>
      <c r="L43" s="337"/>
      <c r="M43" s="337"/>
      <c r="N43" s="238"/>
      <c r="O43" s="239"/>
    </row>
    <row r="44" spans="1:15" ht="15" hidden="1">
      <c r="A44" s="82">
        <v>11</v>
      </c>
      <c r="B44" s="325" t="e">
        <f>VLOOKUP(A44,'Каталог коорд'!A9:G35,8,FALSE)</f>
        <v>#N/A</v>
      </c>
      <c r="C44" s="325"/>
      <c r="D44" s="325"/>
      <c r="E44" s="325"/>
      <c r="F44" s="325"/>
      <c r="G44" s="325"/>
      <c r="H44" s="326"/>
      <c r="I44" s="47" t="e">
        <f>VLOOKUP($A14,'Каталог коорд'!A9:G33,9,FALSE)</f>
        <v>#REF!</v>
      </c>
      <c r="J44" s="336">
        <v>0.2</v>
      </c>
      <c r="K44" s="337"/>
      <c r="L44" s="337"/>
      <c r="M44" s="337"/>
      <c r="N44" s="342"/>
      <c r="O44" s="343"/>
    </row>
    <row r="45" spans="1:15" ht="15" hidden="1">
      <c r="A45" s="46">
        <v>12</v>
      </c>
      <c r="B45" s="325" t="e">
        <f>VLOOKUP(A45,'Каталог коорд'!A10:G36,8,FALSE)</f>
        <v>#N/A</v>
      </c>
      <c r="C45" s="325"/>
      <c r="D45" s="325"/>
      <c r="E45" s="325"/>
      <c r="F45" s="325"/>
      <c r="G45" s="325"/>
      <c r="H45" s="326"/>
      <c r="I45" s="47" t="e">
        <f>VLOOKUP($A15,'Каталог коорд'!A10:G34,9,FALSE)</f>
        <v>#REF!</v>
      </c>
      <c r="J45" s="336">
        <v>0.2</v>
      </c>
      <c r="K45" s="337"/>
      <c r="L45" s="337"/>
      <c r="M45" s="337"/>
      <c r="N45" s="238"/>
      <c r="O45" s="239"/>
    </row>
    <row r="46" spans="1:15" ht="15" hidden="1">
      <c r="A46" s="46">
        <v>6</v>
      </c>
      <c r="B46" s="325" t="e">
        <f>VLOOKUP(A46,'Каталог коорд'!A10:G37,8,FALSE)</f>
        <v>#REF!</v>
      </c>
      <c r="C46" s="325"/>
      <c r="D46" s="325"/>
      <c r="E46" s="325"/>
      <c r="F46" s="325"/>
      <c r="G46" s="325"/>
      <c r="H46" s="326"/>
      <c r="I46" s="47" t="e">
        <f>VLOOKUP($A16,'Каталог коорд'!A10:G35,9,FALSE)</f>
        <v>#N/A</v>
      </c>
      <c r="J46" s="336">
        <v>0.2</v>
      </c>
      <c r="K46" s="337"/>
      <c r="L46" s="337"/>
      <c r="M46" s="337"/>
      <c r="N46" s="238"/>
      <c r="O46" s="239"/>
    </row>
    <row r="47" spans="1:15" ht="15.75" hidden="1" thickBot="1">
      <c r="A47" s="49">
        <v>7</v>
      </c>
      <c r="B47" s="362" t="e">
        <f>VLOOKUP(A47,'Каталог коорд'!A11:G38,8,FALSE)</f>
        <v>#N/A</v>
      </c>
      <c r="C47" s="362"/>
      <c r="D47" s="362"/>
      <c r="E47" s="362"/>
      <c r="F47" s="362"/>
      <c r="G47" s="362"/>
      <c r="H47" s="363"/>
      <c r="I47" s="85" t="e">
        <f>VLOOKUP($A17,'Каталог коорд'!A11:G36,9,FALSE)</f>
        <v>#N/A</v>
      </c>
      <c r="J47" s="359">
        <v>0.2</v>
      </c>
      <c r="K47" s="360"/>
      <c r="L47" s="360"/>
      <c r="M47" s="360"/>
      <c r="N47" s="271"/>
      <c r="O47" s="353"/>
    </row>
    <row r="48" spans="1:15" ht="18" customHeight="1" thickTop="1">
      <c r="A48" s="290" t="s">
        <v>87</v>
      </c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149"/>
    </row>
    <row r="49" spans="1:15" ht="23.25" customHeight="1">
      <c r="A49" s="313" t="s">
        <v>83</v>
      </c>
      <c r="B49" s="314"/>
      <c r="C49" s="314"/>
      <c r="D49" s="314"/>
      <c r="E49" s="314"/>
      <c r="F49" s="314"/>
      <c r="G49" s="314"/>
      <c r="H49" s="314"/>
      <c r="I49" s="314"/>
      <c r="J49" s="309" t="str">
        <f>J20</f>
        <v>:ЗУ1</v>
      </c>
      <c r="K49" s="309"/>
      <c r="L49" s="309"/>
      <c r="M49" s="309"/>
      <c r="N49" s="309"/>
      <c r="O49" s="310"/>
    </row>
    <row r="50" spans="1:15" ht="30" customHeight="1">
      <c r="A50" s="39" t="s">
        <v>16</v>
      </c>
      <c r="B50" s="285" t="s">
        <v>57</v>
      </c>
      <c r="C50" s="285"/>
      <c r="D50" s="285"/>
      <c r="E50" s="285"/>
      <c r="F50" s="285"/>
      <c r="G50" s="285"/>
      <c r="H50" s="238"/>
      <c r="I50" s="238"/>
      <c r="J50" s="136"/>
      <c r="K50" s="285" t="s">
        <v>101</v>
      </c>
      <c r="L50" s="285"/>
      <c r="M50" s="285"/>
      <c r="N50" s="285"/>
      <c r="O50" s="239"/>
    </row>
    <row r="51" spans="1:15" ht="15">
      <c r="A51" s="39">
        <v>1</v>
      </c>
      <c r="B51" s="285">
        <v>2</v>
      </c>
      <c r="C51" s="285"/>
      <c r="D51" s="285"/>
      <c r="E51" s="285"/>
      <c r="F51" s="285"/>
      <c r="G51" s="285"/>
      <c r="H51" s="238">
        <v>2</v>
      </c>
      <c r="I51" s="238"/>
      <c r="J51" s="136"/>
      <c r="K51" s="285">
        <v>3</v>
      </c>
      <c r="L51" s="285"/>
      <c r="M51" s="285"/>
      <c r="N51" s="285"/>
      <c r="O51" s="239"/>
    </row>
    <row r="52" spans="1:15" ht="30" customHeight="1">
      <c r="A52" s="39">
        <v>1</v>
      </c>
      <c r="B52" s="330" t="s">
        <v>88</v>
      </c>
      <c r="C52" s="330"/>
      <c r="D52" s="330"/>
      <c r="E52" s="330"/>
      <c r="F52" s="330"/>
      <c r="G52" s="330"/>
      <c r="H52" s="331"/>
      <c r="I52" s="331"/>
      <c r="J52" s="331"/>
      <c r="K52" s="285" t="str">
        <f>Титул!B7</f>
        <v xml:space="preserve">  </v>
      </c>
      <c r="L52" s="285"/>
      <c r="M52" s="285"/>
      <c r="N52" s="285"/>
      <c r="O52" s="239"/>
    </row>
    <row r="53" spans="1:15" ht="15.75" customHeight="1">
      <c r="A53" s="39">
        <v>2</v>
      </c>
      <c r="B53" s="330" t="s">
        <v>89</v>
      </c>
      <c r="C53" s="330"/>
      <c r="D53" s="330"/>
      <c r="E53" s="330"/>
      <c r="F53" s="330"/>
      <c r="G53" s="330"/>
      <c r="H53" s="331"/>
      <c r="I53" s="331"/>
      <c r="J53" s="331"/>
      <c r="K53" s="285" t="s">
        <v>90</v>
      </c>
      <c r="L53" s="285"/>
      <c r="M53" s="285"/>
      <c r="N53" s="285"/>
      <c r="O53" s="239"/>
    </row>
    <row r="54" spans="1:15" ht="14.25" customHeight="1">
      <c r="A54" s="39">
        <v>3</v>
      </c>
      <c r="B54" s="330" t="s">
        <v>91</v>
      </c>
      <c r="C54" s="330"/>
      <c r="D54" s="330"/>
      <c r="E54" s="330"/>
      <c r="F54" s="330"/>
      <c r="G54" s="330"/>
      <c r="H54" s="331"/>
      <c r="I54" s="331"/>
      <c r="J54" s="331"/>
      <c r="K54" s="285" t="s">
        <v>128</v>
      </c>
      <c r="L54" s="285"/>
      <c r="M54" s="285"/>
      <c r="N54" s="285"/>
      <c r="O54" s="239"/>
    </row>
    <row r="55" spans="1:15" ht="33.75" customHeight="1">
      <c r="A55" s="39">
        <v>4</v>
      </c>
      <c r="B55" s="330" t="s">
        <v>100</v>
      </c>
      <c r="C55" s="330"/>
      <c r="D55" s="330"/>
      <c r="E55" s="330"/>
      <c r="F55" s="330"/>
      <c r="G55" s="330"/>
      <c r="H55" s="331"/>
      <c r="I55" s="331"/>
      <c r="J55" s="331"/>
      <c r="K55" s="356">
        <f>'Каталог коорд'!G3</f>
        <v>599</v>
      </c>
      <c r="L55" s="357"/>
      <c r="M55" s="52" t="s">
        <v>72</v>
      </c>
      <c r="N55" s="364">
        <f>'изм и расчеты'!I19</f>
        <v>9.2336341707910439</v>
      </c>
      <c r="O55" s="365"/>
    </row>
    <row r="56" spans="1:15" ht="36.75" customHeight="1">
      <c r="A56" s="39">
        <v>5</v>
      </c>
      <c r="B56" s="330" t="s">
        <v>99</v>
      </c>
      <c r="C56" s="330"/>
      <c r="D56" s="330"/>
      <c r="E56" s="330"/>
      <c r="F56" s="330"/>
      <c r="G56" s="330"/>
      <c r="H56" s="331"/>
      <c r="I56" s="331"/>
      <c r="J56" s="331"/>
      <c r="K56" s="358">
        <v>600</v>
      </c>
      <c r="L56" s="358"/>
      <c r="M56" s="358">
        <v>2500</v>
      </c>
      <c r="N56" s="358"/>
      <c r="O56" s="239"/>
    </row>
    <row r="57" spans="1:15" ht="42.75" customHeight="1">
      <c r="A57" s="39">
        <v>6</v>
      </c>
      <c r="B57" s="350" t="s">
        <v>133</v>
      </c>
      <c r="C57" s="350"/>
      <c r="D57" s="350"/>
      <c r="E57" s="350"/>
      <c r="F57" s="350"/>
      <c r="G57" s="350"/>
      <c r="H57" s="351"/>
      <c r="I57" s="351"/>
      <c r="J57" s="351"/>
      <c r="K57" s="334" t="s">
        <v>74</v>
      </c>
      <c r="L57" s="334"/>
      <c r="M57" s="334"/>
      <c r="N57" s="334"/>
      <c r="O57" s="347"/>
    </row>
    <row r="58" spans="1:15" ht="15.75" customHeight="1" thickBot="1">
      <c r="A58" s="51">
        <v>7</v>
      </c>
      <c r="B58" s="354" t="s">
        <v>58</v>
      </c>
      <c r="C58" s="354"/>
      <c r="D58" s="354"/>
      <c r="E58" s="354"/>
      <c r="F58" s="354"/>
      <c r="G58" s="354"/>
      <c r="H58" s="355"/>
      <c r="I58" s="355"/>
      <c r="J58" s="355"/>
      <c r="K58" s="349" t="s">
        <v>74</v>
      </c>
      <c r="L58" s="349"/>
      <c r="M58" s="349"/>
      <c r="N58" s="349"/>
      <c r="O58" s="353"/>
    </row>
    <row r="59" spans="1:15" ht="23.25" customHeight="1" thickTop="1">
      <c r="A59" s="290" t="s">
        <v>92</v>
      </c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149"/>
    </row>
    <row r="60" spans="1:15" ht="21.75" customHeight="1">
      <c r="A60" s="313" t="s">
        <v>83</v>
      </c>
      <c r="B60" s="314"/>
      <c r="C60" s="314"/>
      <c r="D60" s="314"/>
      <c r="E60" s="314"/>
      <c r="F60" s="314"/>
      <c r="G60" s="314"/>
      <c r="H60" s="314"/>
      <c r="I60" s="314"/>
      <c r="J60" s="309" t="str">
        <f>J49</f>
        <v>:ЗУ1</v>
      </c>
      <c r="K60" s="309"/>
      <c r="L60" s="309"/>
      <c r="M60" s="309"/>
      <c r="N60" s="309"/>
      <c r="O60" s="310"/>
    </row>
    <row r="61" spans="1:15" ht="27.75" customHeight="1">
      <c r="A61" s="39" t="s">
        <v>16</v>
      </c>
      <c r="B61" s="229" t="s">
        <v>44</v>
      </c>
      <c r="C61" s="229"/>
      <c r="D61" s="229"/>
      <c r="E61" s="229"/>
      <c r="F61" s="229"/>
      <c r="G61" s="229"/>
      <c r="H61" s="352"/>
      <c r="I61" s="352"/>
      <c r="J61" s="83" t="s">
        <v>117</v>
      </c>
      <c r="K61" s="28" t="s">
        <v>93</v>
      </c>
      <c r="L61" s="238" t="s">
        <v>59</v>
      </c>
      <c r="M61" s="238"/>
      <c r="N61" s="238"/>
      <c r="O61" s="239"/>
    </row>
    <row r="62" spans="1:15" ht="15">
      <c r="A62" s="15">
        <v>1</v>
      </c>
      <c r="B62" s="285">
        <v>2</v>
      </c>
      <c r="C62" s="285"/>
      <c r="D62" s="285"/>
      <c r="E62" s="285"/>
      <c r="F62" s="285"/>
      <c r="G62" s="285"/>
      <c r="H62" s="238"/>
      <c r="I62" s="238"/>
      <c r="J62" s="55">
        <v>3</v>
      </c>
      <c r="K62" s="55">
        <v>4</v>
      </c>
      <c r="L62" s="238">
        <v>5</v>
      </c>
      <c r="M62" s="238"/>
      <c r="N62" s="238"/>
      <c r="O62" s="239"/>
    </row>
    <row r="63" spans="1:15" ht="15" customHeight="1" thickBot="1">
      <c r="A63" s="40" t="s">
        <v>74</v>
      </c>
      <c r="B63" s="349" t="str">
        <f>J35</f>
        <v>-</v>
      </c>
      <c r="C63" s="349"/>
      <c r="D63" s="349"/>
      <c r="E63" s="349"/>
      <c r="F63" s="349"/>
      <c r="G63" s="349"/>
      <c r="H63" s="271"/>
      <c r="I63" s="271"/>
      <c r="J63" s="62" t="s">
        <v>74</v>
      </c>
      <c r="K63" s="63" t="s">
        <v>74</v>
      </c>
      <c r="L63" s="271" t="s">
        <v>74</v>
      </c>
      <c r="M63" s="271"/>
      <c r="N63" s="271"/>
      <c r="O63" s="353"/>
    </row>
    <row r="64" spans="1:15" ht="13.5" thickTop="1"/>
  </sheetData>
  <mergeCells count="139">
    <mergeCell ref="N8:O8"/>
    <mergeCell ref="J8:M8"/>
    <mergeCell ref="J9:M9"/>
    <mergeCell ref="J10:M10"/>
    <mergeCell ref="J11:M11"/>
    <mergeCell ref="N9:O9"/>
    <mergeCell ref="N10:O10"/>
    <mergeCell ref="N11:O11"/>
    <mergeCell ref="N46:O46"/>
    <mergeCell ref="J39:M39"/>
    <mergeCell ref="N39:O39"/>
    <mergeCell ref="N36:O37"/>
    <mergeCell ref="J36:M37"/>
    <mergeCell ref="J20:O20"/>
    <mergeCell ref="N12:O12"/>
    <mergeCell ref="N13:O13"/>
    <mergeCell ref="B44:H44"/>
    <mergeCell ref="J44:M44"/>
    <mergeCell ref="N44:O44"/>
    <mergeCell ref="B39:H39"/>
    <mergeCell ref="J41:M41"/>
    <mergeCell ref="N41:O41"/>
    <mergeCell ref="B42:H42"/>
    <mergeCell ref="J42:M42"/>
    <mergeCell ref="N42:O42"/>
    <mergeCell ref="B55:J55"/>
    <mergeCell ref="K55:L55"/>
    <mergeCell ref="M56:O56"/>
    <mergeCell ref="J47:M47"/>
    <mergeCell ref="K54:O54"/>
    <mergeCell ref="K51:O51"/>
    <mergeCell ref="B38:H38"/>
    <mergeCell ref="K50:O50"/>
    <mergeCell ref="A48:O48"/>
    <mergeCell ref="A49:I49"/>
    <mergeCell ref="J38:M38"/>
    <mergeCell ref="N38:O38"/>
    <mergeCell ref="B47:H47"/>
    <mergeCell ref="K53:O53"/>
    <mergeCell ref="N47:O47"/>
    <mergeCell ref="B45:H45"/>
    <mergeCell ref="J45:M45"/>
    <mergeCell ref="N55:O55"/>
    <mergeCell ref="B56:J56"/>
    <mergeCell ref="K56:L56"/>
    <mergeCell ref="N45:O45"/>
    <mergeCell ref="B54:J54"/>
    <mergeCell ref="B46:H46"/>
    <mergeCell ref="J46:M46"/>
    <mergeCell ref="B63:I63"/>
    <mergeCell ref="B57:J57"/>
    <mergeCell ref="K57:O57"/>
    <mergeCell ref="L61:O61"/>
    <mergeCell ref="L62:O62"/>
    <mergeCell ref="B61:I61"/>
    <mergeCell ref="L63:O63"/>
    <mergeCell ref="B58:J58"/>
    <mergeCell ref="K58:O58"/>
    <mergeCell ref="A59:O59"/>
    <mergeCell ref="B62:I62"/>
    <mergeCell ref="J60:O60"/>
    <mergeCell ref="A60:I60"/>
    <mergeCell ref="H23:I23"/>
    <mergeCell ref="J23:O23"/>
    <mergeCell ref="J24:O24"/>
    <mergeCell ref="J25:O25"/>
    <mergeCell ref="H27:I27"/>
    <mergeCell ref="J35:O35"/>
    <mergeCell ref="A21:B21"/>
    <mergeCell ref="H21:I22"/>
    <mergeCell ref="J21:O22"/>
    <mergeCell ref="J29:O29"/>
    <mergeCell ref="H28:I28"/>
    <mergeCell ref="H29:I29"/>
    <mergeCell ref="J27:O27"/>
    <mergeCell ref="J28:O28"/>
    <mergeCell ref="A34:I34"/>
    <mergeCell ref="J34:O34"/>
    <mergeCell ref="J32:O32"/>
    <mergeCell ref="A33:O33"/>
    <mergeCell ref="A36:A37"/>
    <mergeCell ref="B36:I36"/>
    <mergeCell ref="B37:H37"/>
    <mergeCell ref="A35:I35"/>
    <mergeCell ref="A19:O19"/>
    <mergeCell ref="J26:O26"/>
    <mergeCell ref="B10:H10"/>
    <mergeCell ref="B11:H11"/>
    <mergeCell ref="B12:H12"/>
    <mergeCell ref="H24:I24"/>
    <mergeCell ref="J12:M12"/>
    <mergeCell ref="J13:M13"/>
    <mergeCell ref="B15:H15"/>
    <mergeCell ref="B16:H16"/>
    <mergeCell ref="B17:H17"/>
    <mergeCell ref="B18:H18"/>
    <mergeCell ref="J14:M14"/>
    <mergeCell ref="N14:O14"/>
    <mergeCell ref="J15:M15"/>
    <mergeCell ref="N15:O15"/>
    <mergeCell ref="K16:O16"/>
    <mergeCell ref="K17:O17"/>
    <mergeCell ref="B14:H14"/>
    <mergeCell ref="A20:I20"/>
    <mergeCell ref="B9:H9"/>
    <mergeCell ref="B13:H13"/>
    <mergeCell ref="B53:J53"/>
    <mergeCell ref="B51:J51"/>
    <mergeCell ref="H31:I31"/>
    <mergeCell ref="J31:O31"/>
    <mergeCell ref="H25:I25"/>
    <mergeCell ref="B8:H8"/>
    <mergeCell ref="J49:O49"/>
    <mergeCell ref="B50:J50"/>
    <mergeCell ref="B52:J52"/>
    <mergeCell ref="K52:O52"/>
    <mergeCell ref="H32:I32"/>
    <mergeCell ref="H26:I26"/>
    <mergeCell ref="K18:O18"/>
    <mergeCell ref="H30:I30"/>
    <mergeCell ref="J30:O30"/>
    <mergeCell ref="B43:H43"/>
    <mergeCell ref="J43:M43"/>
    <mergeCell ref="N43:O43"/>
    <mergeCell ref="B40:H40"/>
    <mergeCell ref="J40:M40"/>
    <mergeCell ref="N40:O40"/>
    <mergeCell ref="B41:H41"/>
    <mergeCell ref="A6:A7"/>
    <mergeCell ref="A4:O4"/>
    <mergeCell ref="J5:O5"/>
    <mergeCell ref="A1:J1"/>
    <mergeCell ref="A2:O2"/>
    <mergeCell ref="A3:O3"/>
    <mergeCell ref="A5:I5"/>
    <mergeCell ref="B6:I6"/>
    <mergeCell ref="B7:H7"/>
    <mergeCell ref="N6:O7"/>
    <mergeCell ref="J6:M7"/>
  </mergeCells>
  <phoneticPr fontId="9" type="noConversion"/>
  <pageMargins left="0.51181102362204722" right="0.19685039370078741" top="0.15748031496062992" bottom="0.51181102362204722" header="0.15748031496062992" footer="0.51181102362204722"/>
  <pageSetup paperSize="9" scale="99" orientation="portrait" horizontalDpi="4294967295" verticalDpi="1200" r:id="rId1"/>
  <headerFooter alignWithMargins="0"/>
  <rowBreaks count="1" manualBreakCount="1">
    <brk id="4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39" sqref="B39"/>
    </sheetView>
  </sheetViews>
  <sheetFormatPr defaultRowHeight="12.75"/>
  <cols>
    <col min="1" max="1" width="5.42578125" customWidth="1"/>
    <col min="2" max="2" width="44.7109375" customWidth="1"/>
    <col min="3" max="3" width="28.28515625" customWidth="1"/>
    <col min="5" max="5" width="7.140625" customWidth="1"/>
  </cols>
  <sheetData>
    <row r="1" spans="1:5" ht="17.25" thickTop="1" thickBot="1">
      <c r="A1" s="378"/>
      <c r="B1" s="378"/>
      <c r="C1" s="379"/>
      <c r="D1" s="11" t="s">
        <v>50</v>
      </c>
      <c r="E1" s="12">
        <v>6</v>
      </c>
    </row>
    <row r="2" spans="1:5" ht="16.5" thickTop="1">
      <c r="A2" s="380" t="s">
        <v>0</v>
      </c>
      <c r="B2" s="381"/>
      <c r="C2" s="381"/>
      <c r="D2" s="381"/>
      <c r="E2" s="382"/>
    </row>
    <row r="3" spans="1:5" ht="32.25" customHeight="1" thickBot="1">
      <c r="A3" s="383" t="s">
        <v>60</v>
      </c>
      <c r="B3" s="384"/>
      <c r="C3" s="384"/>
      <c r="D3" s="384"/>
      <c r="E3" s="385"/>
    </row>
    <row r="4" spans="1:5" ht="16.5" thickTop="1">
      <c r="A4" s="375"/>
      <c r="B4" s="376"/>
      <c r="C4" s="376"/>
      <c r="D4" s="376"/>
      <c r="E4" s="377"/>
    </row>
    <row r="5" spans="1:5" ht="47.25">
      <c r="A5" s="35" t="s">
        <v>16</v>
      </c>
      <c r="B5" s="27" t="s">
        <v>61</v>
      </c>
      <c r="C5" s="237" t="s">
        <v>62</v>
      </c>
      <c r="D5" s="237"/>
      <c r="E5" s="373"/>
    </row>
    <row r="6" spans="1:5" ht="15.75">
      <c r="A6" s="35">
        <v>1</v>
      </c>
      <c r="B6" s="27">
        <v>2</v>
      </c>
      <c r="C6" s="237">
        <v>3</v>
      </c>
      <c r="D6" s="237"/>
      <c r="E6" s="373"/>
    </row>
    <row r="7" spans="1:5" ht="16.5" thickBot="1">
      <c r="A7" s="42">
        <v>1</v>
      </c>
      <c r="B7" s="43" t="str">
        <f>'изм и расчеты'!B7:C7</f>
        <v>:ЗУ1</v>
      </c>
      <c r="C7" s="287" t="s">
        <v>76</v>
      </c>
      <c r="D7" s="287"/>
      <c r="E7" s="374"/>
    </row>
    <row r="8" spans="1:5" ht="13.5" thickTop="1"/>
  </sheetData>
  <mergeCells count="7">
    <mergeCell ref="C6:E6"/>
    <mergeCell ref="C7:E7"/>
    <mergeCell ref="A4:E4"/>
    <mergeCell ref="A1:C1"/>
    <mergeCell ref="A2:E2"/>
    <mergeCell ref="A3:E3"/>
    <mergeCell ref="C5:E5"/>
  </mergeCells>
  <phoneticPr fontId="9" type="noConversion"/>
  <pageMargins left="0.75" right="0.17" top="0.28999999999999998" bottom="1" header="0.2" footer="0.5"/>
  <pageSetup paperSize="9" orientation="portrait" horizontalDpi="4294967295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"/>
  <sheetViews>
    <sheetView workbookViewId="0">
      <selection activeCell="L11" sqref="L11"/>
    </sheetView>
  </sheetViews>
  <sheetFormatPr defaultRowHeight="12.75"/>
  <sheetData>
    <row r="2" spans="1:12" ht="15.75">
      <c r="A2" t="s">
        <v>137</v>
      </c>
      <c r="B2" t="s">
        <v>138</v>
      </c>
      <c r="C2" t="s">
        <v>138</v>
      </c>
      <c r="D2" t="s">
        <v>138</v>
      </c>
      <c r="E2" t="s">
        <v>138</v>
      </c>
      <c r="F2" t="s">
        <v>138</v>
      </c>
      <c r="H2" t="s">
        <v>139</v>
      </c>
      <c r="I2" s="88" t="s">
        <v>135</v>
      </c>
      <c r="J2" s="88" t="s">
        <v>136</v>
      </c>
      <c r="K2" s="88" t="s">
        <v>134</v>
      </c>
      <c r="L2" s="88" t="s">
        <v>140</v>
      </c>
    </row>
    <row r="3" spans="1:12">
      <c r="A3">
        <f>COUNT(B3:F3)</f>
        <v>5</v>
      </c>
      <c r="B3">
        <v>500</v>
      </c>
      <c r="C3">
        <v>500</v>
      </c>
      <c r="D3">
        <v>500</v>
      </c>
      <c r="E3">
        <v>500</v>
      </c>
      <c r="F3">
        <v>500</v>
      </c>
      <c r="H3">
        <f>SUM(B3:F3)</f>
        <v>2500</v>
      </c>
      <c r="I3">
        <v>1000</v>
      </c>
      <c r="J3">
        <f>POWER(0.000009*A3+25*POWER(H3,2)*(A3+3)/(12*POWER(206265,2)),0.5)</f>
        <v>4.9933691846693329E-2</v>
      </c>
      <c r="K3">
        <f>POWER(0.000009+25*POWER(I3,2)/POWER(206265,2),0.5)</f>
        <v>2.4425594353991196E-2</v>
      </c>
      <c r="L3">
        <f>POWER(POWER(J3,2)+POWER(K3,2),0.5)</f>
        <v>5.5587617694827098E-2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Каталог коорд</vt:lpstr>
      <vt:lpstr>Титул</vt:lpstr>
      <vt:lpstr>Содерж</vt:lpstr>
      <vt:lpstr>Исх данные</vt:lpstr>
      <vt:lpstr>изм и расчеты</vt:lpstr>
      <vt:lpstr>образование</vt:lpstr>
      <vt:lpstr>доступ</vt:lpstr>
      <vt:lpstr>Лист1</vt:lpstr>
      <vt:lpstr>'Исх данные'!Заголовки_для_печати</vt:lpstr>
      <vt:lpstr>образование!Заголовки_для_печати</vt:lpstr>
    </vt:vector>
  </TitlesOfParts>
  <Company>Сфера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LenaPC</cp:lastModifiedBy>
  <cp:lastPrinted>2016-03-31T06:55:56Z</cp:lastPrinted>
  <dcterms:created xsi:type="dcterms:W3CDTF">2009-03-03T12:59:52Z</dcterms:created>
  <dcterms:modified xsi:type="dcterms:W3CDTF">2019-12-04T07:49:42Z</dcterms:modified>
</cp:coreProperties>
</file>